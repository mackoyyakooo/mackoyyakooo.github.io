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OneDrive\Documents\GitHub\mackoyyakooo.github.io\MLDiagnostics\"/>
    </mc:Choice>
  </mc:AlternateContent>
  <xr:revisionPtr revIDLastSave="0" documentId="13_ncr:1_{3A59B512-7CA5-41EF-ABED-354B6870138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BASE" sheetId="7" r:id="rId1"/>
    <sheet name="CBC" sheetId="1" r:id="rId2"/>
    <sheet name="URINALYSIS" sheetId="12" r:id="rId3"/>
    <sheet name="FECALYSIS" sheetId="13" r:id="rId4"/>
    <sheet name="PT" sheetId="14" r:id="rId5"/>
    <sheet name="BT" sheetId="15" r:id="rId6"/>
  </sheets>
  <definedNames>
    <definedName name="_xlnm.Print_Area" localSheetId="5">BT!$A$1:$K$39</definedName>
    <definedName name="_xlnm.Print_Area" localSheetId="1">CBC!$A$1:$K$39</definedName>
    <definedName name="_xlnm.Print_Area" localSheetId="3">FECALYSIS!$A$1:$K$39</definedName>
    <definedName name="_xlnm.Print_Area" localSheetId="4">PT!$A$1:$K$39</definedName>
    <definedName name="_xlnm.Print_Area" localSheetId="2">URINALYSIS!$A$1:$K$39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" l="1"/>
  <c r="P4" i="1" s="1"/>
  <c r="B10" i="15" l="1"/>
  <c r="C9" i="15"/>
  <c r="E8" i="15"/>
  <c r="J6" i="15"/>
  <c r="A6" i="15"/>
  <c r="J5" i="15"/>
  <c r="B10" i="14"/>
  <c r="C9" i="14"/>
  <c r="E8" i="14"/>
  <c r="J6" i="14"/>
  <c r="A6" i="14"/>
  <c r="J5" i="14"/>
  <c r="B10" i="13"/>
  <c r="C9" i="13"/>
  <c r="E8" i="13"/>
  <c r="J6" i="13"/>
  <c r="A6" i="13"/>
  <c r="J5" i="13"/>
  <c r="B10" i="12"/>
  <c r="C9" i="12"/>
  <c r="E8" i="12"/>
  <c r="J6" i="12"/>
  <c r="A6" i="12"/>
  <c r="J5" i="12"/>
  <c r="B10" i="1"/>
  <c r="C9" i="1"/>
  <c r="E8" i="1"/>
  <c r="J6" i="1"/>
  <c r="A6" i="1"/>
  <c r="J5" i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P1" i="15"/>
  <c r="P1" i="14"/>
  <c r="P1" i="13"/>
  <c r="P1" i="12"/>
  <c r="G36" i="1" l="1"/>
  <c r="A36" i="1"/>
  <c r="P3" i="1"/>
  <c r="R1" i="1"/>
  <c r="Q1" i="14"/>
  <c r="Q1" i="15"/>
  <c r="Q1" i="12"/>
  <c r="Q1" i="13"/>
  <c r="F2" i="7"/>
  <c r="B8" i="14" l="1"/>
  <c r="B8" i="15"/>
  <c r="B8" i="12"/>
  <c r="B8" i="13"/>
  <c r="B8" i="1"/>
</calcChain>
</file>

<file path=xl/sharedStrings.xml><?xml version="1.0" encoding="utf-8"?>
<sst xmlns="http://schemas.openxmlformats.org/spreadsheetml/2006/main" count="264" uniqueCount="199">
  <si>
    <t>Address:</t>
  </si>
  <si>
    <t>Age:</t>
  </si>
  <si>
    <t>HEMATOLOGY</t>
  </si>
  <si>
    <t>TEST</t>
  </si>
  <si>
    <t>RESULT</t>
  </si>
  <si>
    <t>Male: 130 - 180 g/L</t>
  </si>
  <si>
    <t>Male: 0.40 - 0.50 Vol. Fr.</t>
  </si>
  <si>
    <t>Male: 4.5-6.2 x 10^12 / L</t>
  </si>
  <si>
    <t>Female: 120 - 160 g/L</t>
  </si>
  <si>
    <t>Hemoglobin</t>
  </si>
  <si>
    <t>Female: 0.37 - 0.43 Vol. Fr.</t>
  </si>
  <si>
    <t xml:space="preserve">Hematocrit </t>
  </si>
  <si>
    <t>Female: 4.0-5.4 x 10^12 / L</t>
  </si>
  <si>
    <t>Red Blood Cell Count</t>
  </si>
  <si>
    <t>4.5 – 11.0 x 10^9 / L</t>
  </si>
  <si>
    <t>White Blood Cell Count</t>
  </si>
  <si>
    <t>DIFFERENTIAL COUNT:</t>
  </si>
  <si>
    <t>55 - 65</t>
  </si>
  <si>
    <t>25 - 35</t>
  </si>
  <si>
    <t>3 - 6</t>
  </si>
  <si>
    <t>Eosinophil</t>
  </si>
  <si>
    <t>Neutrophil</t>
  </si>
  <si>
    <t>Lymphocyte</t>
  </si>
  <si>
    <t>Monocyte</t>
  </si>
  <si>
    <t>2 - 6</t>
  </si>
  <si>
    <t>Platelet Count</t>
  </si>
  <si>
    <t>150 – 450 x 10^9 / L</t>
  </si>
  <si>
    <t>REFERENCE VALUE</t>
  </si>
  <si>
    <t>MAISIE LOU P. LONADO</t>
  </si>
  <si>
    <t>Lic. No. 0069667</t>
  </si>
  <si>
    <t>Medical Technologist</t>
  </si>
  <si>
    <t>MA. BEMERLY J. SIRA, MD, FPSP</t>
  </si>
  <si>
    <t>Lic. No. 0080910</t>
  </si>
  <si>
    <t>Pathologist</t>
  </si>
  <si>
    <t>Physician:</t>
  </si>
  <si>
    <t>Date of Birth:</t>
  </si>
  <si>
    <t>Gender:</t>
  </si>
  <si>
    <t>Date:</t>
  </si>
  <si>
    <t>PHYSICAL PROPERTIES</t>
  </si>
  <si>
    <t>Color</t>
  </si>
  <si>
    <t>Transparency</t>
  </si>
  <si>
    <t>Reaction</t>
  </si>
  <si>
    <t>Specific Gravity</t>
  </si>
  <si>
    <t>CHEMICAL TEST</t>
  </si>
  <si>
    <t>Sugar</t>
  </si>
  <si>
    <t>Albumin</t>
  </si>
  <si>
    <t>MICROSCOPIC FINDINGS</t>
  </si>
  <si>
    <t>Pus Cell</t>
  </si>
  <si>
    <t>RBC</t>
  </si>
  <si>
    <t>Amorphous</t>
  </si>
  <si>
    <t>Squamous Epithelial Cells</t>
  </si>
  <si>
    <t>Mucus Threads</t>
  </si>
  <si>
    <t>Bacteria</t>
  </si>
  <si>
    <t>URINALYSIS</t>
  </si>
  <si>
    <t>RESULTS</t>
  </si>
  <si>
    <t>FECALYSIS</t>
  </si>
  <si>
    <t>PHYSICAL EXAMINATION</t>
  </si>
  <si>
    <t>Consistency</t>
  </si>
  <si>
    <t>FINDINGS: No Ova/Cyst of Intestinal Parasite Found</t>
  </si>
  <si>
    <t>ABO Blood Type</t>
  </si>
  <si>
    <t>RH Typing</t>
  </si>
  <si>
    <t>NAME</t>
  </si>
  <si>
    <t>DATE</t>
  </si>
  <si>
    <t>DATE OF BIRTH</t>
  </si>
  <si>
    <t>GENDER</t>
  </si>
  <si>
    <t>ADDRESS</t>
  </si>
  <si>
    <t>PHYSICIAN</t>
  </si>
  <si>
    <t>No.</t>
  </si>
  <si>
    <t>PAMUGAS, MARK ALFRED</t>
  </si>
  <si>
    <t>MALE</t>
  </si>
  <si>
    <t>MANILA</t>
  </si>
  <si>
    <t>AGE</t>
  </si>
  <si>
    <t>SEROLOGY</t>
  </si>
  <si>
    <t>Specimen: Serum</t>
  </si>
  <si>
    <t>Method Used: Immunochromatography</t>
  </si>
  <si>
    <t>Pregnancy Test (Serum)</t>
  </si>
  <si>
    <t>LMP: NOVEMBER 21,2022</t>
  </si>
  <si>
    <t>POSITIVE</t>
  </si>
  <si>
    <t xml:space="preserve"> </t>
  </si>
  <si>
    <t>**Laboratory results must be clinically correlated by your attending physician.</t>
  </si>
  <si>
    <t>"O"</t>
  </si>
  <si>
    <t>LONADO, MAISIE LOU</t>
  </si>
  <si>
    <t>PATIENT ID.</t>
  </si>
  <si>
    <t>ML-000001</t>
  </si>
  <si>
    <t>ML-000002</t>
  </si>
  <si>
    <t>ML-000003</t>
  </si>
  <si>
    <t>ML-000004</t>
  </si>
  <si>
    <t>ML-000005</t>
  </si>
  <si>
    <t>ML-000006</t>
  </si>
  <si>
    <t>ML-000007</t>
  </si>
  <si>
    <t>ML-000008</t>
  </si>
  <si>
    <t>ML-000009</t>
  </si>
  <si>
    <t>ML-000010</t>
  </si>
  <si>
    <t>ML-000011</t>
  </si>
  <si>
    <t>ML-000012</t>
  </si>
  <si>
    <t>ML-000013</t>
  </si>
  <si>
    <t>ML-000014</t>
  </si>
  <si>
    <t>ML-000015</t>
  </si>
  <si>
    <t>ML-000016</t>
  </si>
  <si>
    <t>ML-000017</t>
  </si>
  <si>
    <t>ML-000018</t>
  </si>
  <si>
    <t>ML-000019</t>
  </si>
  <si>
    <t>ML-000020</t>
  </si>
  <si>
    <t>ML-000021</t>
  </si>
  <si>
    <t>ML-000022</t>
  </si>
  <si>
    <t>ML-000023</t>
  </si>
  <si>
    <t>ML-000024</t>
  </si>
  <si>
    <t>ML-000025</t>
  </si>
  <si>
    <t>ML-000026</t>
  </si>
  <si>
    <t>ML-000027</t>
  </si>
  <si>
    <t>ML-000028</t>
  </si>
  <si>
    <t>ML-000029</t>
  </si>
  <si>
    <t>ML-000030</t>
  </si>
  <si>
    <t>ML-000031</t>
  </si>
  <si>
    <t>ML-000032</t>
  </si>
  <si>
    <t>ML-000033</t>
  </si>
  <si>
    <t>ML-000034</t>
  </si>
  <si>
    <t>ML-000035</t>
  </si>
  <si>
    <t>ML-000036</t>
  </si>
  <si>
    <t>ML-000037</t>
  </si>
  <si>
    <t>ML-000038</t>
  </si>
  <si>
    <t>ML-000039</t>
  </si>
  <si>
    <t>ML-000040</t>
  </si>
  <si>
    <t>ML-000041</t>
  </si>
  <si>
    <t>ML-000042</t>
  </si>
  <si>
    <t>ML-000043</t>
  </si>
  <si>
    <t>ML-000044</t>
  </si>
  <si>
    <t>ML-000045</t>
  </si>
  <si>
    <t>ML-000046</t>
  </si>
  <si>
    <t>ML-000047</t>
  </si>
  <si>
    <t>ML-000048</t>
  </si>
  <si>
    <t>ML-000049</t>
  </si>
  <si>
    <t>ML-000050</t>
  </si>
  <si>
    <t>ML-000051</t>
  </si>
  <si>
    <t>ML-000052</t>
  </si>
  <si>
    <t>ML-000053</t>
  </si>
  <si>
    <t>ML-000054</t>
  </si>
  <si>
    <t>ML-000055</t>
  </si>
  <si>
    <t>ML-000056</t>
  </si>
  <si>
    <t>ML-000057</t>
  </si>
  <si>
    <t>ML-000058</t>
  </si>
  <si>
    <t>ML-000059</t>
  </si>
  <si>
    <t>ML-000060</t>
  </si>
  <si>
    <t>ML-000061</t>
  </si>
  <si>
    <t>ML-000062</t>
  </si>
  <si>
    <t>ML-000063</t>
  </si>
  <si>
    <t>ML-000064</t>
  </si>
  <si>
    <t>ML-000065</t>
  </si>
  <si>
    <t>ML-000066</t>
  </si>
  <si>
    <t>ML-000067</t>
  </si>
  <si>
    <t>ML-000068</t>
  </si>
  <si>
    <t>ML-000069</t>
  </si>
  <si>
    <t>ML-000070</t>
  </si>
  <si>
    <t>ML-000071</t>
  </si>
  <si>
    <t>ML-000072</t>
  </si>
  <si>
    <t>ML-000073</t>
  </si>
  <si>
    <t>ML-000074</t>
  </si>
  <si>
    <t>ML-000075</t>
  </si>
  <si>
    <t>ML-000076</t>
  </si>
  <si>
    <t>ML-000077</t>
  </si>
  <si>
    <t>ML-000078</t>
  </si>
  <si>
    <t>ML-000079</t>
  </si>
  <si>
    <t>ML-000080</t>
  </si>
  <si>
    <t>ML-000081</t>
  </si>
  <si>
    <t>ML-000082</t>
  </si>
  <si>
    <t>ML-000083</t>
  </si>
  <si>
    <t>ML-000084</t>
  </si>
  <si>
    <t>ML-000085</t>
  </si>
  <si>
    <t>ML-000086</t>
  </si>
  <si>
    <t>ML-000087</t>
  </si>
  <si>
    <t>ML-000088</t>
  </si>
  <si>
    <t>ML-000089</t>
  </si>
  <si>
    <t>ML-000090</t>
  </si>
  <si>
    <t>ML-000091</t>
  </si>
  <si>
    <t>ML-000092</t>
  </si>
  <si>
    <t>ML-000093</t>
  </si>
  <si>
    <t>ML-000094</t>
  </si>
  <si>
    <t>ML-000095</t>
  </si>
  <si>
    <t>ML-000096</t>
  </si>
  <si>
    <t>ML-000097</t>
  </si>
  <si>
    <t>ML-000098</t>
  </si>
  <si>
    <t>ML-000099</t>
  </si>
  <si>
    <t>ML-000100</t>
  </si>
  <si>
    <t>ML-000101</t>
  </si>
  <si>
    <t>ML-000102</t>
  </si>
  <si>
    <t>ML-000103</t>
  </si>
  <si>
    <t>ML-000104</t>
  </si>
  <si>
    <t>ML-000105</t>
  </si>
  <si>
    <t>ML-000106</t>
  </si>
  <si>
    <t>ML-000107</t>
  </si>
  <si>
    <t>ML-000108</t>
  </si>
  <si>
    <t>ML-000109</t>
  </si>
  <si>
    <t>ML-000110</t>
  </si>
  <si>
    <t>Patient ID:</t>
  </si>
  <si>
    <t>ALFRED PAMUGAS</t>
  </si>
  <si>
    <t>Employee Code:</t>
  </si>
  <si>
    <t>File Path</t>
  </si>
  <si>
    <t>File Name</t>
  </si>
  <si>
    <t>C:\Users\Mark\OneDrive\Documents\GitHub\mackoyyakooo.github.io\MLDiagnostics\Results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</si>
</sst>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6"/>
      <color theme="2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6" xfId="0" applyFont="1" applyBorder="1"/>
    <xf numFmtId="0" fontId="5" fillId="0" borderId="0" xfId="0" applyFont="1"/>
    <xf numFmtId="0" fontId="8" fillId="0" borderId="0" xfId="0" applyFont="1"/>
    <xf numFmtId="14" fontId="0" fillId="0" borderId="0" xfId="0" applyNumberFormat="1" applyAlignment="1">
      <alignment horizontal="center"/>
    </xf>
    <xf numFmtId="0" fontId="12" fillId="2" borderId="0" xfId="0" applyFont="1" applyFill="1" applyAlignment="1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10" fillId="0" borderId="0" xfId="0" applyFont="1" applyAlignment="1">
      <alignment horizontal="left" wrapText="1"/>
    </xf>
    <xf numFmtId="0" fontId="1" fillId="0" borderId="5" xfId="0" applyFont="1" applyBorder="1" applyAlignment="1">
      <alignment horizontal="center"/>
    </xf>
    <xf numFmtId="0" fontId="7" fillId="0" borderId="0" xfId="0" applyFont="1" applyAlignment="1">
      <alignment horizontal="left" indent="14"/>
    </xf>
    <xf numFmtId="0" fontId="4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 indent="1"/>
    </xf>
    <xf numFmtId="0" fontId="6" fillId="0" borderId="1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13</xdr:col>
      <xdr:colOff>2114550</xdr:colOff>
      <xdr:row>3</xdr:row>
      <xdr:rowOff>123825</xdr:rowOff>
    </xdr:to>
    <xdr:sp macro="[0]!IncrementValu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086475" y="590550"/>
          <a:ext cx="211455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13</xdr:col>
      <xdr:colOff>2114550</xdr:colOff>
      <xdr:row>6</xdr:row>
      <xdr:rowOff>123825</xdr:rowOff>
    </xdr:to>
    <xdr:sp macro="[0]!CreatePDFone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086475" y="1162050"/>
          <a:ext cx="211455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F2E3AE96-1E65-4F9E-84D2-022AB19315CD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C6EE714A-BC18-4EC8-8436-832A474398BB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5DF1EEF9-039A-4433-A8E6-A5D33E332B75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A39E9476-29C8-4D16-A79D-CC46215F24CF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AFFB8ABD-5C7C-459B-8221-8CA69EAED37B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7355538D-77EE-433D-AD21-BA946B841F42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1EA648E8-CD86-497F-B31C-E5E895912A86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8E26E10A-59D5-4CD7-9101-5B82B75E1ED9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1"/>
  <sheetViews>
    <sheetView workbookViewId="0">
      <selection activeCell="O20" sqref="O20"/>
    </sheetView>
  </sheetViews>
  <sheetFormatPr defaultRowHeight="15" x14ac:dyDescent="0.25"/>
  <cols>
    <col min="1" max="1" width="4.140625" style="14" bestFit="1" customWidth="1"/>
    <col min="2" max="2" width="11.28515625" style="14" bestFit="1" customWidth="1"/>
    <col min="3" max="3" width="9.7109375" style="14" bestFit="1" customWidth="1"/>
    <col min="4" max="4" width="23.7109375" style="14" bestFit="1" customWidth="1"/>
    <col min="5" max="5" width="14.140625" style="14" bestFit="1" customWidth="1"/>
    <col min="6" max="6" width="4.7109375" style="14" bestFit="1" customWidth="1"/>
    <col min="7" max="7" width="8.28515625" style="14" bestFit="1" customWidth="1"/>
    <col min="8" max="8" width="9" style="14" bestFit="1" customWidth="1"/>
    <col min="9" max="9" width="10.5703125" style="14" bestFit="1" customWidth="1"/>
    <col min="10" max="16384" width="9.140625" style="14"/>
  </cols>
  <sheetData>
    <row r="1" spans="1:9" x14ac:dyDescent="0.25">
      <c r="A1" s="16" t="s">
        <v>67</v>
      </c>
      <c r="B1" s="16" t="s">
        <v>82</v>
      </c>
      <c r="C1" s="16" t="s">
        <v>62</v>
      </c>
      <c r="D1" s="16" t="s">
        <v>61</v>
      </c>
      <c r="E1" s="16" t="s">
        <v>63</v>
      </c>
      <c r="F1" s="16" t="s">
        <v>71</v>
      </c>
      <c r="G1" s="16" t="s">
        <v>64</v>
      </c>
      <c r="H1" s="16" t="s">
        <v>65</v>
      </c>
      <c r="I1" s="16" t="s">
        <v>66</v>
      </c>
    </row>
    <row r="2" spans="1:9" x14ac:dyDescent="0.25">
      <c r="A2" s="14">
        <v>1</v>
      </c>
      <c r="B2" s="14" t="s">
        <v>83</v>
      </c>
      <c r="C2" s="27">
        <v>45078</v>
      </c>
      <c r="D2" s="14" t="s">
        <v>68</v>
      </c>
      <c r="E2" s="27">
        <v>35614</v>
      </c>
      <c r="F2" s="10">
        <f ca="1">DATEDIF(E2, TODAY(), "Y")</f>
        <v>25</v>
      </c>
      <c r="G2" s="14" t="s">
        <v>69</v>
      </c>
      <c r="H2" s="14" t="s">
        <v>70</v>
      </c>
    </row>
    <row r="3" spans="1:9" x14ac:dyDescent="0.25">
      <c r="A3" s="14">
        <v>2</v>
      </c>
      <c r="B3" s="14" t="s">
        <v>84</v>
      </c>
      <c r="C3" s="27">
        <v>45079</v>
      </c>
      <c r="D3" s="14" t="s">
        <v>81</v>
      </c>
      <c r="E3" s="27">
        <v>34455</v>
      </c>
      <c r="F3" s="10">
        <f t="shared" ref="F3:F66" ca="1" si="0">DATEDIF(E3, TODAY(), "Y")</f>
        <v>29</v>
      </c>
    </row>
    <row r="4" spans="1:9" x14ac:dyDescent="0.25">
      <c r="A4" s="14">
        <v>3</v>
      </c>
      <c r="B4" s="14" t="s">
        <v>85</v>
      </c>
      <c r="C4" s="27">
        <v>45080</v>
      </c>
      <c r="D4" s="14" t="s">
        <v>194</v>
      </c>
      <c r="F4" s="10">
        <f t="shared" ca="1" si="0"/>
        <v>123</v>
      </c>
    </row>
    <row r="5" spans="1:9" x14ac:dyDescent="0.25">
      <c r="A5" s="14">
        <v>4</v>
      </c>
      <c r="B5" s="14" t="s">
        <v>86</v>
      </c>
      <c r="C5" s="27"/>
      <c r="F5" s="10">
        <f t="shared" ca="1" si="0"/>
        <v>123</v>
      </c>
    </row>
    <row r="6" spans="1:9" x14ac:dyDescent="0.25">
      <c r="A6" s="14">
        <v>5</v>
      </c>
      <c r="B6" s="14" t="s">
        <v>87</v>
      </c>
      <c r="C6" s="27"/>
      <c r="F6" s="10">
        <f t="shared" ca="1" si="0"/>
        <v>123</v>
      </c>
    </row>
    <row r="7" spans="1:9" x14ac:dyDescent="0.25">
      <c r="A7" s="14">
        <v>6</v>
      </c>
      <c r="B7" s="14" t="s">
        <v>88</v>
      </c>
      <c r="C7" s="27"/>
      <c r="F7" s="10">
        <f t="shared" ca="1" si="0"/>
        <v>123</v>
      </c>
    </row>
    <row r="8" spans="1:9" x14ac:dyDescent="0.25">
      <c r="A8" s="14">
        <v>7</v>
      </c>
      <c r="B8" s="14" t="s">
        <v>89</v>
      </c>
      <c r="C8" s="27"/>
      <c r="F8" s="10">
        <f t="shared" ca="1" si="0"/>
        <v>123</v>
      </c>
    </row>
    <row r="9" spans="1:9" x14ac:dyDescent="0.25">
      <c r="A9" s="14">
        <v>8</v>
      </c>
      <c r="B9" s="14" t="s">
        <v>90</v>
      </c>
      <c r="C9" s="27"/>
      <c r="F9" s="10">
        <f t="shared" ca="1" si="0"/>
        <v>123</v>
      </c>
    </row>
    <row r="10" spans="1:9" x14ac:dyDescent="0.25">
      <c r="A10" s="14">
        <v>9</v>
      </c>
      <c r="B10" s="14" t="s">
        <v>91</v>
      </c>
      <c r="C10" s="27"/>
      <c r="F10" s="10">
        <f t="shared" ca="1" si="0"/>
        <v>123</v>
      </c>
    </row>
    <row r="11" spans="1:9" x14ac:dyDescent="0.25">
      <c r="A11" s="14">
        <v>10</v>
      </c>
      <c r="B11" s="14" t="s">
        <v>92</v>
      </c>
      <c r="C11" s="27"/>
      <c r="F11" s="10">
        <f t="shared" ca="1" si="0"/>
        <v>123</v>
      </c>
    </row>
    <row r="12" spans="1:9" x14ac:dyDescent="0.25">
      <c r="A12" s="14">
        <v>11</v>
      </c>
      <c r="B12" s="14" t="s">
        <v>93</v>
      </c>
      <c r="C12" s="27"/>
      <c r="F12" s="10">
        <f t="shared" ca="1" si="0"/>
        <v>123</v>
      </c>
    </row>
    <row r="13" spans="1:9" x14ac:dyDescent="0.25">
      <c r="A13" s="14">
        <v>12</v>
      </c>
      <c r="B13" s="14" t="s">
        <v>94</v>
      </c>
      <c r="C13" s="27"/>
      <c r="F13" s="10">
        <f t="shared" ca="1" si="0"/>
        <v>123</v>
      </c>
    </row>
    <row r="14" spans="1:9" x14ac:dyDescent="0.25">
      <c r="A14" s="14">
        <v>13</v>
      </c>
      <c r="B14" s="14" t="s">
        <v>95</v>
      </c>
      <c r="C14" s="27"/>
      <c r="F14" s="10">
        <f t="shared" ca="1" si="0"/>
        <v>123</v>
      </c>
    </row>
    <row r="15" spans="1:9" x14ac:dyDescent="0.25">
      <c r="A15" s="14">
        <v>14</v>
      </c>
      <c r="B15" s="14" t="s">
        <v>96</v>
      </c>
      <c r="C15" s="27"/>
      <c r="F15" s="10">
        <f t="shared" ca="1" si="0"/>
        <v>123</v>
      </c>
    </row>
    <row r="16" spans="1:9" x14ac:dyDescent="0.25">
      <c r="A16" s="14">
        <v>15</v>
      </c>
      <c r="B16" s="14" t="s">
        <v>97</v>
      </c>
      <c r="C16" s="27"/>
      <c r="F16" s="10">
        <f t="shared" ca="1" si="0"/>
        <v>123</v>
      </c>
    </row>
    <row r="17" spans="1:6" x14ac:dyDescent="0.25">
      <c r="A17" s="14">
        <v>16</v>
      </c>
      <c r="B17" s="14" t="s">
        <v>98</v>
      </c>
      <c r="C17" s="27"/>
      <c r="F17" s="10">
        <f t="shared" ca="1" si="0"/>
        <v>123</v>
      </c>
    </row>
    <row r="18" spans="1:6" x14ac:dyDescent="0.25">
      <c r="A18" s="14">
        <v>17</v>
      </c>
      <c r="B18" s="14" t="s">
        <v>99</v>
      </c>
      <c r="C18" s="27"/>
      <c r="F18" s="10">
        <f t="shared" ca="1" si="0"/>
        <v>123</v>
      </c>
    </row>
    <row r="19" spans="1:6" x14ac:dyDescent="0.25">
      <c r="A19" s="14">
        <v>18</v>
      </c>
      <c r="B19" s="14" t="s">
        <v>100</v>
      </c>
      <c r="C19" s="27"/>
      <c r="F19" s="10">
        <f t="shared" ca="1" si="0"/>
        <v>123</v>
      </c>
    </row>
    <row r="20" spans="1:6" x14ac:dyDescent="0.25">
      <c r="A20" s="14">
        <v>19</v>
      </c>
      <c r="B20" s="14" t="s">
        <v>101</v>
      </c>
      <c r="C20" s="27"/>
      <c r="F20" s="10">
        <f t="shared" ca="1" si="0"/>
        <v>123</v>
      </c>
    </row>
    <row r="21" spans="1:6" x14ac:dyDescent="0.25">
      <c r="A21" s="14">
        <v>20</v>
      </c>
      <c r="B21" s="14" t="s">
        <v>102</v>
      </c>
      <c r="C21" s="27"/>
      <c r="F21" s="10">
        <f t="shared" ca="1" si="0"/>
        <v>123</v>
      </c>
    </row>
    <row r="22" spans="1:6" x14ac:dyDescent="0.25">
      <c r="A22" s="14">
        <v>21</v>
      </c>
      <c r="B22" s="14" t="s">
        <v>103</v>
      </c>
      <c r="C22" s="27"/>
      <c r="F22" s="10">
        <f t="shared" ca="1" si="0"/>
        <v>123</v>
      </c>
    </row>
    <row r="23" spans="1:6" x14ac:dyDescent="0.25">
      <c r="A23" s="14">
        <v>22</v>
      </c>
      <c r="B23" s="14" t="s">
        <v>104</v>
      </c>
      <c r="C23" s="27"/>
      <c r="F23" s="10">
        <f t="shared" ca="1" si="0"/>
        <v>123</v>
      </c>
    </row>
    <row r="24" spans="1:6" x14ac:dyDescent="0.25">
      <c r="A24" s="14">
        <v>23</v>
      </c>
      <c r="B24" s="14" t="s">
        <v>105</v>
      </c>
      <c r="C24" s="27"/>
      <c r="F24" s="10">
        <f t="shared" ca="1" si="0"/>
        <v>123</v>
      </c>
    </row>
    <row r="25" spans="1:6" x14ac:dyDescent="0.25">
      <c r="A25" s="14">
        <v>24</v>
      </c>
      <c r="B25" s="14" t="s">
        <v>106</v>
      </c>
      <c r="C25" s="27"/>
      <c r="F25" s="10">
        <f t="shared" ca="1" si="0"/>
        <v>123</v>
      </c>
    </row>
    <row r="26" spans="1:6" x14ac:dyDescent="0.25">
      <c r="A26" s="14">
        <v>25</v>
      </c>
      <c r="B26" s="14" t="s">
        <v>107</v>
      </c>
      <c r="C26" s="27"/>
      <c r="F26" s="10">
        <f t="shared" ca="1" si="0"/>
        <v>123</v>
      </c>
    </row>
    <row r="27" spans="1:6" x14ac:dyDescent="0.25">
      <c r="A27" s="14">
        <v>26</v>
      </c>
      <c r="B27" s="14" t="s">
        <v>108</v>
      </c>
      <c r="C27" s="27"/>
      <c r="F27" s="10">
        <f t="shared" ca="1" si="0"/>
        <v>123</v>
      </c>
    </row>
    <row r="28" spans="1:6" x14ac:dyDescent="0.25">
      <c r="A28" s="14">
        <v>27</v>
      </c>
      <c r="B28" s="14" t="s">
        <v>109</v>
      </c>
      <c r="C28" s="27"/>
      <c r="F28" s="10">
        <f t="shared" ca="1" si="0"/>
        <v>123</v>
      </c>
    </row>
    <row r="29" spans="1:6" x14ac:dyDescent="0.25">
      <c r="A29" s="14">
        <v>28</v>
      </c>
      <c r="B29" s="14" t="s">
        <v>110</v>
      </c>
      <c r="C29" s="27"/>
      <c r="F29" s="10">
        <f t="shared" ca="1" si="0"/>
        <v>123</v>
      </c>
    </row>
    <row r="30" spans="1:6" x14ac:dyDescent="0.25">
      <c r="A30" s="14">
        <v>29</v>
      </c>
      <c r="B30" s="14" t="s">
        <v>111</v>
      </c>
      <c r="C30" s="27"/>
      <c r="F30" s="10">
        <f t="shared" ca="1" si="0"/>
        <v>123</v>
      </c>
    </row>
    <row r="31" spans="1:6" x14ac:dyDescent="0.25">
      <c r="A31" s="14">
        <v>30</v>
      </c>
      <c r="B31" s="14" t="s">
        <v>112</v>
      </c>
      <c r="C31" s="27"/>
      <c r="F31" s="10">
        <f t="shared" ca="1" si="0"/>
        <v>123</v>
      </c>
    </row>
    <row r="32" spans="1:6" x14ac:dyDescent="0.25">
      <c r="A32" s="14">
        <v>31</v>
      </c>
      <c r="B32" s="14" t="s">
        <v>113</v>
      </c>
      <c r="C32" s="27"/>
      <c r="F32" s="10">
        <f t="shared" ca="1" si="0"/>
        <v>123</v>
      </c>
    </row>
    <row r="33" spans="1:6" x14ac:dyDescent="0.25">
      <c r="A33" s="14">
        <v>32</v>
      </c>
      <c r="B33" s="14" t="s">
        <v>114</v>
      </c>
      <c r="C33" s="27"/>
      <c r="F33" s="10">
        <f t="shared" ca="1" si="0"/>
        <v>123</v>
      </c>
    </row>
    <row r="34" spans="1:6" x14ac:dyDescent="0.25">
      <c r="A34" s="14">
        <v>33</v>
      </c>
      <c r="B34" s="14" t="s">
        <v>115</v>
      </c>
      <c r="C34" s="27"/>
      <c r="F34" s="10">
        <f t="shared" ca="1" si="0"/>
        <v>123</v>
      </c>
    </row>
    <row r="35" spans="1:6" x14ac:dyDescent="0.25">
      <c r="A35" s="14">
        <v>34</v>
      </c>
      <c r="B35" s="14" t="s">
        <v>116</v>
      </c>
      <c r="C35" s="27"/>
      <c r="F35" s="10">
        <f t="shared" ca="1" si="0"/>
        <v>123</v>
      </c>
    </row>
    <row r="36" spans="1:6" x14ac:dyDescent="0.25">
      <c r="A36" s="14">
        <v>35</v>
      </c>
      <c r="B36" s="14" t="s">
        <v>117</v>
      </c>
      <c r="C36" s="27"/>
      <c r="F36" s="10">
        <f t="shared" ca="1" si="0"/>
        <v>123</v>
      </c>
    </row>
    <row r="37" spans="1:6" x14ac:dyDescent="0.25">
      <c r="A37" s="14">
        <v>36</v>
      </c>
      <c r="B37" s="14" t="s">
        <v>118</v>
      </c>
      <c r="C37" s="27"/>
      <c r="F37" s="10">
        <f t="shared" ca="1" si="0"/>
        <v>123</v>
      </c>
    </row>
    <row r="38" spans="1:6" x14ac:dyDescent="0.25">
      <c r="A38" s="14">
        <v>37</v>
      </c>
      <c r="B38" s="14" t="s">
        <v>119</v>
      </c>
      <c r="C38" s="27"/>
      <c r="F38" s="10">
        <f t="shared" ca="1" si="0"/>
        <v>123</v>
      </c>
    </row>
    <row r="39" spans="1:6" x14ac:dyDescent="0.25">
      <c r="A39" s="14">
        <v>38</v>
      </c>
      <c r="B39" s="14" t="s">
        <v>120</v>
      </c>
      <c r="C39" s="27"/>
      <c r="F39" s="10">
        <f t="shared" ca="1" si="0"/>
        <v>123</v>
      </c>
    </row>
    <row r="40" spans="1:6" x14ac:dyDescent="0.25">
      <c r="A40" s="14">
        <v>39</v>
      </c>
      <c r="B40" s="14" t="s">
        <v>121</v>
      </c>
      <c r="C40" s="27"/>
      <c r="F40" s="10">
        <f t="shared" ca="1" si="0"/>
        <v>123</v>
      </c>
    </row>
    <row r="41" spans="1:6" x14ac:dyDescent="0.25">
      <c r="A41" s="14">
        <v>40</v>
      </c>
      <c r="B41" s="14" t="s">
        <v>122</v>
      </c>
      <c r="C41" s="27"/>
      <c r="F41" s="10">
        <f t="shared" ca="1" si="0"/>
        <v>123</v>
      </c>
    </row>
    <row r="42" spans="1:6" x14ac:dyDescent="0.25">
      <c r="A42" s="14">
        <v>41</v>
      </c>
      <c r="B42" s="14" t="s">
        <v>123</v>
      </c>
      <c r="C42" s="27"/>
      <c r="F42" s="10">
        <f t="shared" ca="1" si="0"/>
        <v>123</v>
      </c>
    </row>
    <row r="43" spans="1:6" x14ac:dyDescent="0.25">
      <c r="A43" s="14">
        <v>42</v>
      </c>
      <c r="B43" s="14" t="s">
        <v>124</v>
      </c>
      <c r="C43" s="27"/>
      <c r="F43" s="10">
        <f t="shared" ca="1" si="0"/>
        <v>123</v>
      </c>
    </row>
    <row r="44" spans="1:6" x14ac:dyDescent="0.25">
      <c r="A44" s="14">
        <v>43</v>
      </c>
      <c r="B44" s="14" t="s">
        <v>125</v>
      </c>
      <c r="C44" s="27"/>
      <c r="F44" s="10">
        <f t="shared" ca="1" si="0"/>
        <v>123</v>
      </c>
    </row>
    <row r="45" spans="1:6" x14ac:dyDescent="0.25">
      <c r="A45" s="14">
        <v>44</v>
      </c>
      <c r="B45" s="14" t="s">
        <v>126</v>
      </c>
      <c r="C45" s="27"/>
      <c r="F45" s="10">
        <f t="shared" ca="1" si="0"/>
        <v>123</v>
      </c>
    </row>
    <row r="46" spans="1:6" x14ac:dyDescent="0.25">
      <c r="A46" s="14">
        <v>45</v>
      </c>
      <c r="B46" s="14" t="s">
        <v>127</v>
      </c>
      <c r="C46" s="27"/>
      <c r="F46" s="10">
        <f t="shared" ca="1" si="0"/>
        <v>123</v>
      </c>
    </row>
    <row r="47" spans="1:6" x14ac:dyDescent="0.25">
      <c r="A47" s="14">
        <v>46</v>
      </c>
      <c r="B47" s="14" t="s">
        <v>128</v>
      </c>
      <c r="C47" s="27"/>
      <c r="F47" s="10">
        <f t="shared" ca="1" si="0"/>
        <v>123</v>
      </c>
    </row>
    <row r="48" spans="1:6" x14ac:dyDescent="0.25">
      <c r="A48" s="14">
        <v>47</v>
      </c>
      <c r="B48" s="14" t="s">
        <v>129</v>
      </c>
      <c r="C48" s="27"/>
      <c r="F48" s="10">
        <f t="shared" ca="1" si="0"/>
        <v>123</v>
      </c>
    </row>
    <row r="49" spans="1:6" x14ac:dyDescent="0.25">
      <c r="A49" s="14">
        <v>48</v>
      </c>
      <c r="B49" s="14" t="s">
        <v>130</v>
      </c>
      <c r="C49" s="27"/>
      <c r="F49" s="10">
        <f t="shared" ca="1" si="0"/>
        <v>123</v>
      </c>
    </row>
    <row r="50" spans="1:6" x14ac:dyDescent="0.25">
      <c r="A50" s="14">
        <v>49</v>
      </c>
      <c r="B50" s="14" t="s">
        <v>131</v>
      </c>
      <c r="C50" s="27"/>
      <c r="F50" s="10">
        <f t="shared" ca="1" si="0"/>
        <v>123</v>
      </c>
    </row>
    <row r="51" spans="1:6" x14ac:dyDescent="0.25">
      <c r="A51" s="14">
        <v>50</v>
      </c>
      <c r="B51" s="14" t="s">
        <v>132</v>
      </c>
      <c r="C51" s="27"/>
      <c r="F51" s="10">
        <f t="shared" ca="1" si="0"/>
        <v>123</v>
      </c>
    </row>
    <row r="52" spans="1:6" x14ac:dyDescent="0.25">
      <c r="A52" s="14">
        <v>51</v>
      </c>
      <c r="B52" s="14" t="s">
        <v>133</v>
      </c>
      <c r="C52" s="27"/>
      <c r="F52" s="10">
        <f t="shared" ca="1" si="0"/>
        <v>123</v>
      </c>
    </row>
    <row r="53" spans="1:6" x14ac:dyDescent="0.25">
      <c r="A53" s="14">
        <v>52</v>
      </c>
      <c r="B53" s="14" t="s">
        <v>134</v>
      </c>
      <c r="C53" s="27"/>
      <c r="F53" s="10">
        <f t="shared" ca="1" si="0"/>
        <v>123</v>
      </c>
    </row>
    <row r="54" spans="1:6" x14ac:dyDescent="0.25">
      <c r="A54" s="14">
        <v>53</v>
      </c>
      <c r="B54" s="14" t="s">
        <v>135</v>
      </c>
      <c r="C54" s="27"/>
      <c r="F54" s="10">
        <f t="shared" ca="1" si="0"/>
        <v>123</v>
      </c>
    </row>
    <row r="55" spans="1:6" x14ac:dyDescent="0.25">
      <c r="A55" s="14">
        <v>54</v>
      </c>
      <c r="B55" s="14" t="s">
        <v>136</v>
      </c>
      <c r="C55" s="27"/>
      <c r="F55" s="10">
        <f t="shared" ca="1" si="0"/>
        <v>123</v>
      </c>
    </row>
    <row r="56" spans="1:6" x14ac:dyDescent="0.25">
      <c r="A56" s="14">
        <v>55</v>
      </c>
      <c r="B56" s="14" t="s">
        <v>137</v>
      </c>
      <c r="C56" s="27"/>
      <c r="F56" s="10">
        <f t="shared" ca="1" si="0"/>
        <v>123</v>
      </c>
    </row>
    <row r="57" spans="1:6" x14ac:dyDescent="0.25">
      <c r="A57" s="14">
        <v>56</v>
      </c>
      <c r="B57" s="14" t="s">
        <v>138</v>
      </c>
      <c r="C57" s="27"/>
      <c r="F57" s="10">
        <f t="shared" ca="1" si="0"/>
        <v>123</v>
      </c>
    </row>
    <row r="58" spans="1:6" x14ac:dyDescent="0.25">
      <c r="A58" s="14">
        <v>57</v>
      </c>
      <c r="B58" s="14" t="s">
        <v>139</v>
      </c>
      <c r="C58" s="27"/>
      <c r="F58" s="10">
        <f t="shared" ca="1" si="0"/>
        <v>123</v>
      </c>
    </row>
    <row r="59" spans="1:6" x14ac:dyDescent="0.25">
      <c r="A59" s="14">
        <v>58</v>
      </c>
      <c r="B59" s="14" t="s">
        <v>140</v>
      </c>
      <c r="C59" s="27"/>
      <c r="F59" s="10">
        <f t="shared" ca="1" si="0"/>
        <v>123</v>
      </c>
    </row>
    <row r="60" spans="1:6" x14ac:dyDescent="0.25">
      <c r="A60" s="14">
        <v>59</v>
      </c>
      <c r="B60" s="14" t="s">
        <v>141</v>
      </c>
      <c r="C60" s="27"/>
      <c r="F60" s="10">
        <f t="shared" ca="1" si="0"/>
        <v>123</v>
      </c>
    </row>
    <row r="61" spans="1:6" x14ac:dyDescent="0.25">
      <c r="A61" s="14">
        <v>60</v>
      </c>
      <c r="B61" s="14" t="s">
        <v>142</v>
      </c>
      <c r="C61" s="27"/>
      <c r="F61" s="10">
        <f t="shared" ca="1" si="0"/>
        <v>123</v>
      </c>
    </row>
    <row r="62" spans="1:6" x14ac:dyDescent="0.25">
      <c r="A62" s="14">
        <v>61</v>
      </c>
      <c r="B62" s="14" t="s">
        <v>143</v>
      </c>
      <c r="C62" s="27"/>
      <c r="F62" s="10">
        <f t="shared" ca="1" si="0"/>
        <v>123</v>
      </c>
    </row>
    <row r="63" spans="1:6" x14ac:dyDescent="0.25">
      <c r="A63" s="14">
        <v>62</v>
      </c>
      <c r="B63" s="14" t="s">
        <v>144</v>
      </c>
      <c r="C63" s="27"/>
      <c r="F63" s="10">
        <f t="shared" ca="1" si="0"/>
        <v>123</v>
      </c>
    </row>
    <row r="64" spans="1:6" x14ac:dyDescent="0.25">
      <c r="A64" s="14">
        <v>63</v>
      </c>
      <c r="B64" s="14" t="s">
        <v>145</v>
      </c>
      <c r="C64" s="27"/>
      <c r="F64" s="10">
        <f t="shared" ca="1" si="0"/>
        <v>123</v>
      </c>
    </row>
    <row r="65" spans="1:6" x14ac:dyDescent="0.25">
      <c r="A65" s="14">
        <v>64</v>
      </c>
      <c r="B65" s="14" t="s">
        <v>146</v>
      </c>
      <c r="C65" s="27"/>
      <c r="F65" s="10">
        <f t="shared" ca="1" si="0"/>
        <v>123</v>
      </c>
    </row>
    <row r="66" spans="1:6" x14ac:dyDescent="0.25">
      <c r="A66" s="14">
        <v>65</v>
      </c>
      <c r="B66" s="14" t="s">
        <v>147</v>
      </c>
      <c r="C66" s="27"/>
      <c r="F66" s="10">
        <f t="shared" ca="1" si="0"/>
        <v>123</v>
      </c>
    </row>
    <row r="67" spans="1:6" x14ac:dyDescent="0.25">
      <c r="A67" s="14">
        <v>66</v>
      </c>
      <c r="B67" s="14" t="s">
        <v>148</v>
      </c>
      <c r="C67" s="27"/>
      <c r="F67" s="10">
        <f t="shared" ref="F67:F111" ca="1" si="1">DATEDIF(E67, TODAY(), "Y")</f>
        <v>123</v>
      </c>
    </row>
    <row r="68" spans="1:6" x14ac:dyDescent="0.25">
      <c r="A68" s="14">
        <v>67</v>
      </c>
      <c r="B68" s="14" t="s">
        <v>149</v>
      </c>
      <c r="C68" s="27"/>
      <c r="F68" s="10">
        <f t="shared" ca="1" si="1"/>
        <v>123</v>
      </c>
    </row>
    <row r="69" spans="1:6" x14ac:dyDescent="0.25">
      <c r="A69" s="14">
        <v>68</v>
      </c>
      <c r="B69" s="14" t="s">
        <v>150</v>
      </c>
      <c r="C69" s="27"/>
      <c r="F69" s="10">
        <f t="shared" ca="1" si="1"/>
        <v>123</v>
      </c>
    </row>
    <row r="70" spans="1:6" x14ac:dyDescent="0.25">
      <c r="A70" s="14">
        <v>69</v>
      </c>
      <c r="B70" s="14" t="s">
        <v>151</v>
      </c>
      <c r="C70" s="27"/>
      <c r="F70" s="10">
        <f t="shared" ca="1" si="1"/>
        <v>123</v>
      </c>
    </row>
    <row r="71" spans="1:6" x14ac:dyDescent="0.25">
      <c r="A71" s="14">
        <v>70</v>
      </c>
      <c r="B71" s="14" t="s">
        <v>152</v>
      </c>
      <c r="C71" s="27"/>
      <c r="F71" s="10">
        <f t="shared" ca="1" si="1"/>
        <v>123</v>
      </c>
    </row>
    <row r="72" spans="1:6" x14ac:dyDescent="0.25">
      <c r="A72" s="14">
        <v>71</v>
      </c>
      <c r="B72" s="14" t="s">
        <v>153</v>
      </c>
      <c r="C72" s="27"/>
      <c r="F72" s="10">
        <f t="shared" ca="1" si="1"/>
        <v>123</v>
      </c>
    </row>
    <row r="73" spans="1:6" x14ac:dyDescent="0.25">
      <c r="A73" s="14">
        <v>72</v>
      </c>
      <c r="B73" s="14" t="s">
        <v>154</v>
      </c>
      <c r="C73" s="27"/>
      <c r="F73" s="10">
        <f t="shared" ca="1" si="1"/>
        <v>123</v>
      </c>
    </row>
    <row r="74" spans="1:6" x14ac:dyDescent="0.25">
      <c r="A74" s="14">
        <v>73</v>
      </c>
      <c r="B74" s="14" t="s">
        <v>155</v>
      </c>
      <c r="C74" s="27"/>
      <c r="F74" s="10">
        <f t="shared" ca="1" si="1"/>
        <v>123</v>
      </c>
    </row>
    <row r="75" spans="1:6" x14ac:dyDescent="0.25">
      <c r="A75" s="14">
        <v>74</v>
      </c>
      <c r="B75" s="14" t="s">
        <v>156</v>
      </c>
      <c r="C75" s="27"/>
      <c r="F75" s="10">
        <f t="shared" ca="1" si="1"/>
        <v>123</v>
      </c>
    </row>
    <row r="76" spans="1:6" x14ac:dyDescent="0.25">
      <c r="A76" s="14">
        <v>75</v>
      </c>
      <c r="B76" s="14" t="s">
        <v>157</v>
      </c>
      <c r="C76" s="27"/>
      <c r="F76" s="10">
        <f t="shared" ca="1" si="1"/>
        <v>123</v>
      </c>
    </row>
    <row r="77" spans="1:6" x14ac:dyDescent="0.25">
      <c r="A77" s="14">
        <v>76</v>
      </c>
      <c r="B77" s="14" t="s">
        <v>158</v>
      </c>
      <c r="C77" s="27"/>
      <c r="F77" s="10">
        <f t="shared" ca="1" si="1"/>
        <v>123</v>
      </c>
    </row>
    <row r="78" spans="1:6" x14ac:dyDescent="0.25">
      <c r="A78" s="14">
        <v>77</v>
      </c>
      <c r="B78" s="14" t="s">
        <v>159</v>
      </c>
      <c r="C78" s="27"/>
      <c r="F78" s="10">
        <f t="shared" ca="1" si="1"/>
        <v>123</v>
      </c>
    </row>
    <row r="79" spans="1:6" x14ac:dyDescent="0.25">
      <c r="A79" s="14">
        <v>78</v>
      </c>
      <c r="B79" s="14" t="s">
        <v>160</v>
      </c>
      <c r="C79" s="27"/>
      <c r="F79" s="10">
        <f t="shared" ca="1" si="1"/>
        <v>123</v>
      </c>
    </row>
    <row r="80" spans="1:6" x14ac:dyDescent="0.25">
      <c r="A80" s="14">
        <v>79</v>
      </c>
      <c r="B80" s="14" t="s">
        <v>161</v>
      </c>
      <c r="C80" s="27"/>
      <c r="F80" s="10">
        <f t="shared" ca="1" si="1"/>
        <v>123</v>
      </c>
    </row>
    <row r="81" spans="1:6" x14ac:dyDescent="0.25">
      <c r="A81" s="14">
        <v>80</v>
      </c>
      <c r="B81" s="14" t="s">
        <v>162</v>
      </c>
      <c r="C81" s="27"/>
      <c r="F81" s="10">
        <f t="shared" ca="1" si="1"/>
        <v>123</v>
      </c>
    </row>
    <row r="82" spans="1:6" x14ac:dyDescent="0.25">
      <c r="A82" s="14">
        <v>81</v>
      </c>
      <c r="B82" s="14" t="s">
        <v>163</v>
      </c>
      <c r="C82" s="27"/>
      <c r="F82" s="10">
        <f t="shared" ca="1" si="1"/>
        <v>123</v>
      </c>
    </row>
    <row r="83" spans="1:6" x14ac:dyDescent="0.25">
      <c r="A83" s="14">
        <v>82</v>
      </c>
      <c r="B83" s="14" t="s">
        <v>164</v>
      </c>
      <c r="C83" s="27"/>
      <c r="F83" s="10">
        <f t="shared" ca="1" si="1"/>
        <v>123</v>
      </c>
    </row>
    <row r="84" spans="1:6" x14ac:dyDescent="0.25">
      <c r="A84" s="14">
        <v>83</v>
      </c>
      <c r="B84" s="14" t="s">
        <v>165</v>
      </c>
      <c r="C84" s="27"/>
      <c r="F84" s="10">
        <f t="shared" ca="1" si="1"/>
        <v>123</v>
      </c>
    </row>
    <row r="85" spans="1:6" x14ac:dyDescent="0.25">
      <c r="A85" s="14">
        <v>84</v>
      </c>
      <c r="B85" s="14" t="s">
        <v>166</v>
      </c>
      <c r="C85" s="27"/>
      <c r="F85" s="10">
        <f t="shared" ca="1" si="1"/>
        <v>123</v>
      </c>
    </row>
    <row r="86" spans="1:6" x14ac:dyDescent="0.25">
      <c r="A86" s="14">
        <v>85</v>
      </c>
      <c r="B86" s="14" t="s">
        <v>167</v>
      </c>
      <c r="C86" s="27"/>
      <c r="F86" s="10">
        <f t="shared" ca="1" si="1"/>
        <v>123</v>
      </c>
    </row>
    <row r="87" spans="1:6" x14ac:dyDescent="0.25">
      <c r="A87" s="14">
        <v>86</v>
      </c>
      <c r="B87" s="14" t="s">
        <v>168</v>
      </c>
      <c r="C87" s="27"/>
      <c r="F87" s="10">
        <f t="shared" ca="1" si="1"/>
        <v>123</v>
      </c>
    </row>
    <row r="88" spans="1:6" x14ac:dyDescent="0.25">
      <c r="A88" s="14">
        <v>87</v>
      </c>
      <c r="B88" s="14" t="s">
        <v>169</v>
      </c>
      <c r="C88" s="27"/>
      <c r="F88" s="10">
        <f t="shared" ca="1" si="1"/>
        <v>123</v>
      </c>
    </row>
    <row r="89" spans="1:6" x14ac:dyDescent="0.25">
      <c r="A89" s="14">
        <v>88</v>
      </c>
      <c r="B89" s="14" t="s">
        <v>170</v>
      </c>
      <c r="C89" s="27"/>
      <c r="F89" s="10">
        <f t="shared" ca="1" si="1"/>
        <v>123</v>
      </c>
    </row>
    <row r="90" spans="1:6" x14ac:dyDescent="0.25">
      <c r="A90" s="14">
        <v>89</v>
      </c>
      <c r="B90" s="14" t="s">
        <v>171</v>
      </c>
      <c r="C90" s="27"/>
      <c r="F90" s="10">
        <f t="shared" ca="1" si="1"/>
        <v>123</v>
      </c>
    </row>
    <row r="91" spans="1:6" x14ac:dyDescent="0.25">
      <c r="A91" s="14">
        <v>90</v>
      </c>
      <c r="B91" s="14" t="s">
        <v>172</v>
      </c>
      <c r="C91" s="27"/>
      <c r="F91" s="10">
        <f t="shared" ca="1" si="1"/>
        <v>123</v>
      </c>
    </row>
    <row r="92" spans="1:6" x14ac:dyDescent="0.25">
      <c r="A92" s="14">
        <v>91</v>
      </c>
      <c r="B92" s="14" t="s">
        <v>173</v>
      </c>
      <c r="C92" s="27"/>
      <c r="F92" s="10">
        <f t="shared" ca="1" si="1"/>
        <v>123</v>
      </c>
    </row>
    <row r="93" spans="1:6" x14ac:dyDescent="0.25">
      <c r="A93" s="14">
        <v>92</v>
      </c>
      <c r="B93" s="14" t="s">
        <v>174</v>
      </c>
      <c r="C93" s="27"/>
      <c r="F93" s="10">
        <f t="shared" ca="1" si="1"/>
        <v>123</v>
      </c>
    </row>
    <row r="94" spans="1:6" x14ac:dyDescent="0.25">
      <c r="A94" s="14">
        <v>93</v>
      </c>
      <c r="B94" s="14" t="s">
        <v>175</v>
      </c>
      <c r="C94" s="27"/>
      <c r="F94" s="10">
        <f t="shared" ca="1" si="1"/>
        <v>123</v>
      </c>
    </row>
    <row r="95" spans="1:6" x14ac:dyDescent="0.25">
      <c r="A95" s="14">
        <v>94</v>
      </c>
      <c r="B95" s="14" t="s">
        <v>176</v>
      </c>
      <c r="C95" s="27"/>
      <c r="F95" s="10">
        <f t="shared" ca="1" si="1"/>
        <v>123</v>
      </c>
    </row>
    <row r="96" spans="1:6" x14ac:dyDescent="0.25">
      <c r="A96" s="14">
        <v>95</v>
      </c>
      <c r="B96" s="14" t="s">
        <v>177</v>
      </c>
      <c r="C96" s="27"/>
      <c r="F96" s="10">
        <f t="shared" ca="1" si="1"/>
        <v>123</v>
      </c>
    </row>
    <row r="97" spans="1:6" x14ac:dyDescent="0.25">
      <c r="A97" s="14">
        <v>96</v>
      </c>
      <c r="B97" s="14" t="s">
        <v>178</v>
      </c>
      <c r="C97" s="27"/>
      <c r="F97" s="10">
        <f t="shared" ca="1" si="1"/>
        <v>123</v>
      </c>
    </row>
    <row r="98" spans="1:6" x14ac:dyDescent="0.25">
      <c r="A98" s="14">
        <v>97</v>
      </c>
      <c r="B98" s="14" t="s">
        <v>179</v>
      </c>
      <c r="C98" s="27"/>
      <c r="F98" s="10">
        <f t="shared" ca="1" si="1"/>
        <v>123</v>
      </c>
    </row>
    <row r="99" spans="1:6" x14ac:dyDescent="0.25">
      <c r="A99" s="14">
        <v>98</v>
      </c>
      <c r="B99" s="14" t="s">
        <v>180</v>
      </c>
      <c r="C99" s="27"/>
      <c r="F99" s="10">
        <f t="shared" ca="1" si="1"/>
        <v>123</v>
      </c>
    </row>
    <row r="100" spans="1:6" x14ac:dyDescent="0.25">
      <c r="A100" s="14">
        <v>99</v>
      </c>
      <c r="B100" s="14" t="s">
        <v>181</v>
      </c>
      <c r="C100" s="27"/>
      <c r="F100" s="10">
        <f t="shared" ca="1" si="1"/>
        <v>123</v>
      </c>
    </row>
    <row r="101" spans="1:6" x14ac:dyDescent="0.25">
      <c r="A101" s="14">
        <v>100</v>
      </c>
      <c r="B101" s="14" t="s">
        <v>182</v>
      </c>
      <c r="C101" s="27"/>
      <c r="F101" s="10">
        <f t="shared" ca="1" si="1"/>
        <v>123</v>
      </c>
    </row>
    <row r="102" spans="1:6" x14ac:dyDescent="0.25">
      <c r="A102" s="14">
        <v>101</v>
      </c>
      <c r="B102" s="14" t="s">
        <v>183</v>
      </c>
      <c r="C102" s="27"/>
      <c r="F102" s="10">
        <f t="shared" ca="1" si="1"/>
        <v>123</v>
      </c>
    </row>
    <row r="103" spans="1:6" x14ac:dyDescent="0.25">
      <c r="A103" s="14">
        <v>102</v>
      </c>
      <c r="B103" s="14" t="s">
        <v>184</v>
      </c>
      <c r="C103" s="27"/>
      <c r="F103" s="10">
        <f t="shared" ca="1" si="1"/>
        <v>123</v>
      </c>
    </row>
    <row r="104" spans="1:6" x14ac:dyDescent="0.25">
      <c r="A104" s="14">
        <v>103</v>
      </c>
      <c r="B104" s="14" t="s">
        <v>185</v>
      </c>
      <c r="C104" s="27"/>
      <c r="F104" s="10">
        <f t="shared" ca="1" si="1"/>
        <v>123</v>
      </c>
    </row>
    <row r="105" spans="1:6" x14ac:dyDescent="0.25">
      <c r="A105" s="14">
        <v>104</v>
      </c>
      <c r="B105" s="14" t="s">
        <v>186</v>
      </c>
      <c r="C105" s="27"/>
      <c r="F105" s="10">
        <f t="shared" ca="1" si="1"/>
        <v>123</v>
      </c>
    </row>
    <row r="106" spans="1:6" x14ac:dyDescent="0.25">
      <c r="A106" s="14">
        <v>105</v>
      </c>
      <c r="B106" s="14" t="s">
        <v>187</v>
      </c>
      <c r="C106" s="27"/>
      <c r="F106" s="10">
        <f t="shared" ca="1" si="1"/>
        <v>123</v>
      </c>
    </row>
    <row r="107" spans="1:6" x14ac:dyDescent="0.25">
      <c r="A107" s="14">
        <v>106</v>
      </c>
      <c r="B107" s="14" t="s">
        <v>188</v>
      </c>
      <c r="C107" s="27"/>
      <c r="F107" s="10">
        <f t="shared" ca="1" si="1"/>
        <v>123</v>
      </c>
    </row>
    <row r="108" spans="1:6" x14ac:dyDescent="0.25">
      <c r="A108" s="14">
        <v>107</v>
      </c>
      <c r="B108" s="14" t="s">
        <v>189</v>
      </c>
      <c r="C108" s="27"/>
      <c r="F108" s="10">
        <f t="shared" ca="1" si="1"/>
        <v>123</v>
      </c>
    </row>
    <row r="109" spans="1:6" x14ac:dyDescent="0.25">
      <c r="A109" s="14">
        <v>108</v>
      </c>
      <c r="B109" s="14" t="s">
        <v>190</v>
      </c>
      <c r="C109" s="27"/>
      <c r="F109" s="10">
        <f t="shared" ca="1" si="1"/>
        <v>123</v>
      </c>
    </row>
    <row r="110" spans="1:6" x14ac:dyDescent="0.25">
      <c r="A110" s="14">
        <v>109</v>
      </c>
      <c r="B110" s="14" t="s">
        <v>191</v>
      </c>
      <c r="C110" s="27"/>
      <c r="F110" s="10">
        <f t="shared" ca="1" si="1"/>
        <v>123</v>
      </c>
    </row>
    <row r="111" spans="1:6" x14ac:dyDescent="0.25">
      <c r="A111" s="14">
        <v>110</v>
      </c>
      <c r="B111" s="14" t="s">
        <v>192</v>
      </c>
      <c r="C111" s="27"/>
      <c r="F111" s="10">
        <f t="shared" ca="1" si="1"/>
        <v>123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9"/>
  <sheetViews>
    <sheetView tabSelected="1" zoomScaleNormal="100" zoomScalePageLayoutView="85" workbookViewId="0">
      <selection activeCell="N18" sqref="N18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4" max="14" width="32.140625" customWidth="1"/>
    <col min="15" max="15" width="15.5703125" bestFit="1" customWidth="1"/>
    <col min="16" max="16" width="28.85546875" bestFit="1" customWidth="1"/>
    <col min="17" max="17" width="87.7109375" bestFit="1" customWidth="1"/>
    <col min="19" max="19" width="9.140625" customWidth="1"/>
  </cols>
  <sheetData>
    <row r="1" spans="1:18" ht="46.5" x14ac:dyDescent="0.7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N1">
        <v>1</v>
      </c>
      <c r="O1" t="s">
        <v>195</v>
      </c>
      <c r="P1" t="str">
        <f>VLOOKUP(N1,DATABASE!A1:I999,2,FALSE)</f>
        <v>ML-000001</v>
      </c>
      <c r="R1" t="str">
        <f>CONCATENATE(SUBSTITUTE(SUBSTITUTE(A6,", ","")," ",""),TEXT(VLOOKUP(N1,DATABASE!A1:I999,5,FALSE),"MMDDYYYY"))</f>
        <v>PAMUGASMARKALFRED07031997</v>
      </c>
    </row>
    <row r="2" spans="1:18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O2" s="28" t="s">
        <v>196</v>
      </c>
      <c r="P2" t="s">
        <v>198</v>
      </c>
    </row>
    <row r="3" spans="1:18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P3" t="str">
        <f>A6</f>
        <v>PAMUGAS, MARK ALFRED</v>
      </c>
    </row>
    <row r="4" spans="1:18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O4" s="28" t="s">
        <v>197</v>
      </c>
      <c r="P4" t="str">
        <f>P2&amp;"\"&amp;P1</f>
        <v>C:\Users\Mark\OneDrive\Documents\GitHub\mackoyyakooo.github.io\MLDiagnostics\Results\ML-000001</v>
      </c>
    </row>
    <row r="5" spans="1:18" x14ac:dyDescent="0.25">
      <c r="H5" t="s">
        <v>193</v>
      </c>
      <c r="J5" t="str">
        <f>TEXT(VLOOKUP(N1,DATABASE!A1:I999,2,FALSE),"MM/DD/YYYY")</f>
        <v>ML-000001</v>
      </c>
    </row>
    <row r="6" spans="1:18" ht="15" customHeight="1" x14ac:dyDescent="0.25">
      <c r="A6" s="39" t="str">
        <f>VLOOKUP(N1,DATABASE!A1:I999,4,FALSE)</f>
        <v>PAMUGAS, MARK ALFRED</v>
      </c>
      <c r="B6" s="39"/>
      <c r="C6" s="39"/>
      <c r="D6" s="39"/>
      <c r="E6" s="39"/>
      <c r="F6" s="39"/>
      <c r="G6" s="39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8" ht="15" customHeight="1" x14ac:dyDescent="0.25">
      <c r="A7" s="39"/>
      <c r="B7" s="39"/>
      <c r="C7" s="39"/>
      <c r="D7" s="39"/>
      <c r="E7" s="39"/>
      <c r="F7" s="39"/>
      <c r="G7" s="39"/>
      <c r="H7" t="s">
        <v>34</v>
      </c>
      <c r="J7" s="15"/>
      <c r="K7" s="15"/>
      <c r="L7" s="15"/>
    </row>
    <row r="8" spans="1:18" x14ac:dyDescent="0.25">
      <c r="A8" t="s">
        <v>1</v>
      </c>
      <c r="B8" s="31">
        <f ca="1">VLOOKUP(N1,DATABASE!A1:I999,6,FALSE)</f>
        <v>25</v>
      </c>
      <c r="C8" s="31"/>
      <c r="D8" t="s">
        <v>36</v>
      </c>
      <c r="E8" s="1" t="str">
        <f>VLOOKUP(N1,DATABASE!A1:I999,7,FALSE)</f>
        <v>MALE</v>
      </c>
      <c r="I8" s="38"/>
      <c r="J8" s="38"/>
      <c r="K8" s="38"/>
    </row>
    <row r="9" spans="1:18" x14ac:dyDescent="0.25">
      <c r="A9" t="s">
        <v>35</v>
      </c>
      <c r="C9" s="31" t="str">
        <f>TEXT(VLOOKUP(N1,DATABASE!A1:I999,5,FALSE),"MM/DD/YYYY")</f>
        <v>07/03/1997</v>
      </c>
      <c r="D9" s="31"/>
      <c r="E9" s="31"/>
      <c r="J9" s="30"/>
      <c r="K9" s="30"/>
    </row>
    <row r="10" spans="1:18" x14ac:dyDescent="0.25">
      <c r="A10" t="s">
        <v>0</v>
      </c>
      <c r="B10" s="31" t="str">
        <f>VLOOKUP(N1,DATABASE!A1:I999,8,FALSE)</f>
        <v>MANILA</v>
      </c>
      <c r="C10" s="31"/>
      <c r="D10" s="31"/>
      <c r="E10" s="31"/>
    </row>
    <row r="11" spans="1:18" ht="6" customHeight="1" x14ac:dyDescent="0.25"/>
    <row r="12" spans="1:18" ht="31.5" x14ac:dyDescent="0.5">
      <c r="A12" s="32" t="s">
        <v>2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</row>
    <row r="13" spans="1:18" ht="6" customHeight="1" x14ac:dyDescent="0.25"/>
    <row r="14" spans="1:18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8" x14ac:dyDescent="0.25">
      <c r="A15" s="40" t="s">
        <v>3</v>
      </c>
      <c r="B15" s="38"/>
      <c r="C15" s="38"/>
      <c r="E15" s="38" t="s">
        <v>4</v>
      </c>
      <c r="F15" s="38"/>
      <c r="G15" s="38"/>
      <c r="H15" s="16"/>
      <c r="I15" s="38" t="s">
        <v>27</v>
      </c>
      <c r="J15" s="38"/>
      <c r="K15" s="43"/>
    </row>
    <row r="16" spans="1:18" x14ac:dyDescent="0.25">
      <c r="A16" s="21" t="s">
        <v>9</v>
      </c>
      <c r="B16" s="17"/>
      <c r="E16" s="33"/>
      <c r="F16" s="33"/>
      <c r="G16" s="33"/>
      <c r="H16" s="14"/>
      <c r="I16" s="36" t="s">
        <v>8</v>
      </c>
      <c r="J16" s="36"/>
      <c r="K16" s="37"/>
    </row>
    <row r="17" spans="1:16" x14ac:dyDescent="0.25">
      <c r="A17" s="21"/>
      <c r="B17" s="17"/>
      <c r="I17" s="36" t="s">
        <v>5</v>
      </c>
      <c r="J17" s="36"/>
      <c r="K17" s="37"/>
    </row>
    <row r="18" spans="1:16" x14ac:dyDescent="0.25">
      <c r="A18" s="21" t="s">
        <v>11</v>
      </c>
      <c r="B18" s="17"/>
      <c r="E18" s="33"/>
      <c r="F18" s="33"/>
      <c r="G18" s="33"/>
      <c r="H18" s="14"/>
      <c r="I18" s="36" t="s">
        <v>10</v>
      </c>
      <c r="J18" s="36"/>
      <c r="K18" s="37"/>
    </row>
    <row r="19" spans="1:16" x14ac:dyDescent="0.25">
      <c r="A19" s="21"/>
      <c r="B19" s="17"/>
      <c r="I19" s="36" t="s">
        <v>6</v>
      </c>
      <c r="J19" s="36"/>
      <c r="K19" s="37"/>
      <c r="P19" t="s">
        <v>78</v>
      </c>
    </row>
    <row r="20" spans="1:16" x14ac:dyDescent="0.25">
      <c r="A20" s="21" t="s">
        <v>13</v>
      </c>
      <c r="B20" s="17"/>
      <c r="E20" s="33"/>
      <c r="F20" s="33"/>
      <c r="G20" s="33"/>
      <c r="H20" s="14"/>
      <c r="I20" s="36" t="s">
        <v>12</v>
      </c>
      <c r="J20" s="36"/>
      <c r="K20" s="37"/>
    </row>
    <row r="21" spans="1:16" x14ac:dyDescent="0.25">
      <c r="A21" s="21"/>
      <c r="B21" s="17"/>
      <c r="I21" s="36" t="s">
        <v>7</v>
      </c>
      <c r="J21" s="36"/>
      <c r="K21" s="37"/>
    </row>
    <row r="22" spans="1:16" x14ac:dyDescent="0.25">
      <c r="A22" s="21" t="s">
        <v>15</v>
      </c>
      <c r="B22" s="17"/>
      <c r="E22" s="33"/>
      <c r="F22" s="33"/>
      <c r="G22" s="33"/>
      <c r="H22" s="14"/>
      <c r="I22" s="36" t="s">
        <v>14</v>
      </c>
      <c r="J22" s="36"/>
      <c r="K22" s="37"/>
    </row>
    <row r="23" spans="1:16" x14ac:dyDescent="0.25">
      <c r="A23" s="21"/>
      <c r="B23" s="17"/>
      <c r="I23" s="17"/>
      <c r="J23" s="17"/>
      <c r="K23" s="18"/>
    </row>
    <row r="24" spans="1:16" x14ac:dyDescent="0.25">
      <c r="A24" s="21" t="s">
        <v>16</v>
      </c>
      <c r="B24" s="17"/>
      <c r="I24" s="17"/>
      <c r="J24" s="17"/>
      <c r="K24" s="18"/>
    </row>
    <row r="25" spans="1:16" x14ac:dyDescent="0.25">
      <c r="A25" s="21"/>
      <c r="B25" s="17" t="s">
        <v>21</v>
      </c>
      <c r="E25" s="33"/>
      <c r="F25" s="33"/>
      <c r="G25" s="33"/>
      <c r="H25" s="14"/>
      <c r="I25" s="30" t="s">
        <v>17</v>
      </c>
      <c r="J25" s="30"/>
      <c r="K25" s="44"/>
    </row>
    <row r="26" spans="1:16" x14ac:dyDescent="0.25">
      <c r="A26" s="21"/>
      <c r="B26" s="17" t="s">
        <v>22</v>
      </c>
      <c r="E26" s="33"/>
      <c r="F26" s="33"/>
      <c r="G26" s="33"/>
      <c r="H26" s="14"/>
      <c r="I26" s="30" t="s">
        <v>18</v>
      </c>
      <c r="J26" s="30"/>
      <c r="K26" s="44"/>
    </row>
    <row r="27" spans="1:16" x14ac:dyDescent="0.25">
      <c r="A27" s="21"/>
      <c r="B27" s="17" t="s">
        <v>23</v>
      </c>
      <c r="E27" s="33"/>
      <c r="F27" s="33"/>
      <c r="G27" s="33"/>
      <c r="H27" s="14"/>
      <c r="I27" s="34" t="s">
        <v>19</v>
      </c>
      <c r="J27" s="34"/>
      <c r="K27" s="35"/>
    </row>
    <row r="28" spans="1:16" x14ac:dyDescent="0.25">
      <c r="A28" s="21"/>
      <c r="B28" s="17" t="s">
        <v>20</v>
      </c>
      <c r="E28" s="33"/>
      <c r="F28" s="33"/>
      <c r="G28" s="33"/>
      <c r="H28" s="14"/>
      <c r="I28" s="34" t="s">
        <v>24</v>
      </c>
      <c r="J28" s="34"/>
      <c r="K28" s="35"/>
    </row>
    <row r="29" spans="1:16" x14ac:dyDescent="0.25">
      <c r="A29" s="6"/>
      <c r="I29" s="17"/>
      <c r="J29" s="17"/>
      <c r="K29" s="18"/>
    </row>
    <row r="30" spans="1:16" x14ac:dyDescent="0.25">
      <c r="A30" s="21" t="s">
        <v>25</v>
      </c>
      <c r="E30" s="33"/>
      <c r="F30" s="33"/>
      <c r="G30" s="33"/>
      <c r="H30" s="14"/>
      <c r="I30" s="36" t="s">
        <v>26</v>
      </c>
      <c r="J30" s="36"/>
      <c r="K30" s="37"/>
    </row>
    <row r="31" spans="1:16" x14ac:dyDescent="0.25">
      <c r="A31" s="8"/>
      <c r="B31" s="2"/>
      <c r="C31" s="2"/>
      <c r="D31" s="2"/>
      <c r="E31" s="11"/>
      <c r="F31" s="11"/>
      <c r="G31" s="11"/>
      <c r="H31" s="11"/>
      <c r="I31" s="19"/>
      <c r="J31" s="19"/>
      <c r="K31" s="20"/>
    </row>
    <row r="32" spans="1:16" x14ac:dyDescent="0.25">
      <c r="A32" s="26" t="s">
        <v>79</v>
      </c>
    </row>
    <row r="36" spans="1:11" ht="21" x14ac:dyDescent="0.35">
      <c r="A36" s="52" t="str">
        <f>J6</f>
        <v>06/01/2023</v>
      </c>
      <c r="B36" s="52"/>
      <c r="C36" s="52"/>
      <c r="D36" s="52"/>
      <c r="E36" s="52"/>
      <c r="G36" s="52" t="str">
        <f>J6</f>
        <v>06/01/2023</v>
      </c>
      <c r="H36" s="52"/>
      <c r="I36" s="52"/>
      <c r="J36" s="52"/>
      <c r="K36" s="52"/>
    </row>
    <row r="37" spans="1:11" ht="15" customHeight="1" x14ac:dyDescent="0.25">
      <c r="A37" s="30" t="s">
        <v>28</v>
      </c>
      <c r="B37" s="30"/>
      <c r="C37" s="30"/>
      <c r="D37" s="30"/>
      <c r="E37" s="30"/>
      <c r="G37" s="30" t="s">
        <v>31</v>
      </c>
      <c r="H37" s="30"/>
      <c r="I37" s="30"/>
      <c r="J37" s="30"/>
      <c r="K37" s="30"/>
    </row>
    <row r="38" spans="1:11" x14ac:dyDescent="0.25">
      <c r="A38" s="29" t="s">
        <v>29</v>
      </c>
      <c r="B38" s="29"/>
      <c r="C38" s="29"/>
      <c r="D38" s="29"/>
      <c r="E38" s="29"/>
      <c r="G38" s="29" t="s">
        <v>32</v>
      </c>
      <c r="H38" s="29"/>
      <c r="I38" s="29"/>
      <c r="J38" s="29"/>
      <c r="K38" s="29"/>
    </row>
    <row r="39" spans="1:11" x14ac:dyDescent="0.25">
      <c r="A39" s="30" t="s">
        <v>30</v>
      </c>
      <c r="B39" s="30"/>
      <c r="C39" s="30"/>
      <c r="D39" s="30"/>
      <c r="E39" s="30"/>
      <c r="G39" s="30" t="s">
        <v>33</v>
      </c>
      <c r="H39" s="30"/>
      <c r="I39" s="30"/>
      <c r="J39" s="30"/>
      <c r="K39" s="30"/>
    </row>
  </sheetData>
  <mergeCells count="43">
    <mergeCell ref="A36:E36"/>
    <mergeCell ref="G36:K36"/>
    <mergeCell ref="E20:G20"/>
    <mergeCell ref="E22:G22"/>
    <mergeCell ref="I25:K25"/>
    <mergeCell ref="I26:K26"/>
    <mergeCell ref="J9:K9"/>
    <mergeCell ref="E25:G25"/>
    <mergeCell ref="I16:K16"/>
    <mergeCell ref="I17:K17"/>
    <mergeCell ref="I18:K18"/>
    <mergeCell ref="I19:K19"/>
    <mergeCell ref="I20:K20"/>
    <mergeCell ref="I21:K21"/>
    <mergeCell ref="I22:K22"/>
    <mergeCell ref="E16:G16"/>
    <mergeCell ref="E18:G18"/>
    <mergeCell ref="I8:K8"/>
    <mergeCell ref="B8:C8"/>
    <mergeCell ref="A6:G7"/>
    <mergeCell ref="A15:C15"/>
    <mergeCell ref="A1:K1"/>
    <mergeCell ref="A2:K2"/>
    <mergeCell ref="A3:K3"/>
    <mergeCell ref="A4:K4"/>
    <mergeCell ref="E15:G15"/>
    <mergeCell ref="I15:K15"/>
    <mergeCell ref="G38:K38"/>
    <mergeCell ref="G39:K39"/>
    <mergeCell ref="C9:E9"/>
    <mergeCell ref="B10:E10"/>
    <mergeCell ref="A12:K12"/>
    <mergeCell ref="E26:G26"/>
    <mergeCell ref="E27:G27"/>
    <mergeCell ref="E28:G28"/>
    <mergeCell ref="E30:G30"/>
    <mergeCell ref="A37:E37"/>
    <mergeCell ref="A38:E38"/>
    <mergeCell ref="A39:E39"/>
    <mergeCell ref="G37:K37"/>
    <mergeCell ref="I27:K27"/>
    <mergeCell ref="I28:K28"/>
    <mergeCell ref="I30:K30"/>
  </mergeCells>
  <pageMargins left="0.75" right="0.75" top="0.5" bottom="0.75" header="0.3" footer="0.3"/>
  <pageSetup paperSize="9" scale="115" fitToWidth="0" fitToHeight="0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99DB-5713-4B9C-B05A-94275E1CBECD}">
  <sheetPr codeName="Sheet3"/>
  <dimension ref="A1:Q39"/>
  <sheetViews>
    <sheetView topLeftCell="A7" zoomScaleNormal="100" workbookViewId="0">
      <selection activeCell="P23" sqref="P23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N1">
        <v>1</v>
      </c>
      <c r="P1" t="str">
        <f>CONCATENATE(VLOOKUP(N1,DATABASE!A1:I999,3,FALSE)," - UA")</f>
        <v>45078 - UA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7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</row>
    <row r="4" spans="1:17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9" t="str">
        <f>VLOOKUP(N1,DATABASE!A1:I999,4,FALSE)</f>
        <v>PAMUGAS, MARK ALFRED</v>
      </c>
      <c r="B6" s="39"/>
      <c r="C6" s="39"/>
      <c r="D6" s="39"/>
      <c r="E6" s="39"/>
      <c r="F6" s="39"/>
      <c r="G6" s="39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9"/>
      <c r="B7" s="39"/>
      <c r="C7" s="39"/>
      <c r="D7" s="39"/>
      <c r="E7" s="39"/>
      <c r="F7" s="39"/>
      <c r="G7" s="39"/>
      <c r="H7" t="s">
        <v>34</v>
      </c>
      <c r="J7" s="15"/>
      <c r="K7" s="15"/>
      <c r="L7" s="15"/>
    </row>
    <row r="8" spans="1:17" x14ac:dyDescent="0.25">
      <c r="A8" t="s">
        <v>1</v>
      </c>
      <c r="B8" s="31">
        <f ca="1">VLOOKUP(N1,DATABASE!A1:I999,6,FALSE)</f>
        <v>25</v>
      </c>
      <c r="C8" s="31"/>
      <c r="D8" t="s">
        <v>36</v>
      </c>
      <c r="E8" s="1" t="str">
        <f>VLOOKUP(N1,DATABASE!A1:I999,7,FALSE)</f>
        <v>MALE</v>
      </c>
      <c r="I8" s="38"/>
      <c r="J8" s="38"/>
      <c r="K8" s="38"/>
    </row>
    <row r="9" spans="1:17" x14ac:dyDescent="0.25">
      <c r="A9" t="s">
        <v>35</v>
      </c>
      <c r="C9" s="31" t="str">
        <f>TEXT(VLOOKUP(N1,DATABASE!A1:I999,5,FALSE),"MM/DD/YYYY")</f>
        <v>07/03/1997</v>
      </c>
      <c r="D9" s="31"/>
      <c r="E9" s="31"/>
      <c r="J9" s="30"/>
      <c r="K9" s="30"/>
    </row>
    <row r="10" spans="1:17" x14ac:dyDescent="0.25">
      <c r="A10" t="s">
        <v>0</v>
      </c>
      <c r="B10" s="31" t="str">
        <f>VLOOKUP(N1,DATABASE!A1:I999,8,FALSE)</f>
        <v>MANILA</v>
      </c>
      <c r="C10" s="31"/>
      <c r="D10" s="31"/>
      <c r="E10" s="31"/>
    </row>
    <row r="11" spans="1:17" ht="6" customHeight="1" x14ac:dyDescent="0.25"/>
    <row r="12" spans="1:17" ht="31.5" x14ac:dyDescent="0.5">
      <c r="A12" s="32" t="s">
        <v>53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40" t="s">
        <v>38</v>
      </c>
      <c r="B15" s="38"/>
      <c r="C15" s="38"/>
      <c r="D15" s="38"/>
      <c r="E15" s="38"/>
      <c r="F15" s="1"/>
      <c r="G15" s="38" t="s">
        <v>54</v>
      </c>
      <c r="H15" s="38"/>
      <c r="I15" s="38"/>
      <c r="J15" s="38"/>
      <c r="K15" s="24"/>
    </row>
    <row r="16" spans="1:17" x14ac:dyDescent="0.25">
      <c r="A16" s="45" t="s">
        <v>39</v>
      </c>
      <c r="B16" s="30"/>
      <c r="C16" s="30"/>
      <c r="D16" s="30"/>
      <c r="E16" s="30"/>
      <c r="G16" s="33"/>
      <c r="H16" s="33"/>
      <c r="I16" s="33"/>
      <c r="J16" s="33"/>
      <c r="K16" s="7"/>
    </row>
    <row r="17" spans="1:11" x14ac:dyDescent="0.25">
      <c r="A17" s="6"/>
      <c r="K17" s="7"/>
    </row>
    <row r="18" spans="1:11" x14ac:dyDescent="0.25">
      <c r="A18" s="45" t="s">
        <v>40</v>
      </c>
      <c r="B18" s="30"/>
      <c r="C18" s="30"/>
      <c r="D18" s="30"/>
      <c r="E18" s="30"/>
      <c r="G18" s="33"/>
      <c r="H18" s="33"/>
      <c r="I18" s="33"/>
      <c r="J18" s="33"/>
      <c r="K18" s="7"/>
    </row>
    <row r="19" spans="1:11" x14ac:dyDescent="0.25">
      <c r="A19" s="45" t="s">
        <v>41</v>
      </c>
      <c r="B19" s="30"/>
      <c r="C19" s="30"/>
      <c r="D19" s="30"/>
      <c r="E19" s="30"/>
      <c r="G19" s="33"/>
      <c r="H19" s="33"/>
      <c r="I19" s="33"/>
      <c r="J19" s="33"/>
      <c r="K19" s="7"/>
    </row>
    <row r="20" spans="1:11" x14ac:dyDescent="0.25">
      <c r="A20" s="45" t="s">
        <v>42</v>
      </c>
      <c r="B20" s="30"/>
      <c r="C20" s="30"/>
      <c r="D20" s="30"/>
      <c r="E20" s="30"/>
      <c r="G20" s="33"/>
      <c r="H20" s="33"/>
      <c r="I20" s="33"/>
      <c r="J20" s="33"/>
      <c r="K20" s="7"/>
    </row>
    <row r="21" spans="1:11" x14ac:dyDescent="0.25">
      <c r="A21" s="6"/>
      <c r="K21" s="7"/>
    </row>
    <row r="22" spans="1:11" x14ac:dyDescent="0.25">
      <c r="A22" s="40" t="s">
        <v>43</v>
      </c>
      <c r="B22" s="38"/>
      <c r="C22" s="38"/>
      <c r="D22" s="38"/>
      <c r="E22" s="38"/>
      <c r="K22" s="7"/>
    </row>
    <row r="23" spans="1:11" x14ac:dyDescent="0.25">
      <c r="A23" s="45" t="s">
        <v>44</v>
      </c>
      <c r="B23" s="30"/>
      <c r="C23" s="30"/>
      <c r="D23" s="30"/>
      <c r="E23" s="30"/>
      <c r="G23" s="33"/>
      <c r="H23" s="33"/>
      <c r="I23" s="33"/>
      <c r="J23" s="33"/>
      <c r="K23" s="7"/>
    </row>
    <row r="24" spans="1:11" x14ac:dyDescent="0.25">
      <c r="A24" s="45" t="s">
        <v>45</v>
      </c>
      <c r="B24" s="30"/>
      <c r="C24" s="30"/>
      <c r="D24" s="30"/>
      <c r="E24" s="30"/>
      <c r="G24" s="33"/>
      <c r="H24" s="33"/>
      <c r="I24" s="33"/>
      <c r="J24" s="33"/>
      <c r="K24" s="7"/>
    </row>
    <row r="25" spans="1:11" x14ac:dyDescent="0.25">
      <c r="A25" s="6"/>
      <c r="K25" s="7"/>
    </row>
    <row r="26" spans="1:11" x14ac:dyDescent="0.25">
      <c r="A26" s="40" t="s">
        <v>46</v>
      </c>
      <c r="B26" s="38"/>
      <c r="C26" s="38"/>
      <c r="D26" s="38"/>
      <c r="E26" s="38"/>
      <c r="K26" s="7"/>
    </row>
    <row r="27" spans="1:11" x14ac:dyDescent="0.25">
      <c r="A27" s="45" t="s">
        <v>47</v>
      </c>
      <c r="B27" s="30"/>
      <c r="C27" s="30"/>
      <c r="D27" s="30"/>
      <c r="E27" s="30"/>
      <c r="G27" s="33"/>
      <c r="H27" s="33"/>
      <c r="I27" s="33"/>
      <c r="J27" s="33"/>
      <c r="K27" s="7"/>
    </row>
    <row r="28" spans="1:11" x14ac:dyDescent="0.25">
      <c r="A28" s="45" t="s">
        <v>48</v>
      </c>
      <c r="B28" s="30"/>
      <c r="C28" s="30"/>
      <c r="D28" s="30"/>
      <c r="E28" s="30"/>
      <c r="G28" s="33"/>
      <c r="H28" s="33"/>
      <c r="I28" s="33"/>
      <c r="J28" s="33"/>
      <c r="K28" s="7"/>
    </row>
    <row r="29" spans="1:11" x14ac:dyDescent="0.25">
      <c r="A29" s="45" t="s">
        <v>49</v>
      </c>
      <c r="B29" s="30"/>
      <c r="C29" s="30"/>
      <c r="D29" s="30"/>
      <c r="E29" s="30"/>
      <c r="G29" s="33"/>
      <c r="H29" s="33"/>
      <c r="I29" s="33"/>
      <c r="J29" s="33"/>
      <c r="K29" s="7"/>
    </row>
    <row r="30" spans="1:11" x14ac:dyDescent="0.25">
      <c r="A30" s="45" t="s">
        <v>50</v>
      </c>
      <c r="B30" s="30"/>
      <c r="C30" s="30"/>
      <c r="D30" s="30"/>
      <c r="E30" s="30"/>
      <c r="G30" s="33"/>
      <c r="H30" s="33"/>
      <c r="I30" s="33"/>
      <c r="J30" s="33"/>
      <c r="K30" s="7"/>
    </row>
    <row r="31" spans="1:11" x14ac:dyDescent="0.25">
      <c r="A31" s="45" t="s">
        <v>51</v>
      </c>
      <c r="B31" s="30"/>
      <c r="C31" s="30"/>
      <c r="D31" s="30"/>
      <c r="E31" s="30"/>
      <c r="G31" s="33"/>
      <c r="H31" s="33"/>
      <c r="I31" s="33"/>
      <c r="J31" s="33"/>
      <c r="K31" s="7"/>
    </row>
    <row r="32" spans="1:11" x14ac:dyDescent="0.25">
      <c r="A32" s="45" t="s">
        <v>52</v>
      </c>
      <c r="B32" s="30"/>
      <c r="C32" s="30"/>
      <c r="D32" s="30"/>
      <c r="E32" s="30"/>
      <c r="G32" s="33"/>
      <c r="H32" s="33"/>
      <c r="I32" s="33"/>
      <c r="J32" s="33"/>
      <c r="K32" s="7"/>
    </row>
    <row r="33" spans="1:11" x14ac:dyDescent="0.25">
      <c r="A33" s="22"/>
      <c r="B33" s="11"/>
      <c r="C33" s="11"/>
      <c r="D33" s="11"/>
      <c r="E33" s="11"/>
      <c r="F33" s="2"/>
      <c r="G33" s="11"/>
      <c r="H33" s="11"/>
      <c r="I33" s="11"/>
      <c r="J33" s="11"/>
      <c r="K33" s="23"/>
    </row>
    <row r="34" spans="1:11" x14ac:dyDescent="0.25">
      <c r="A34" s="26" t="s">
        <v>79</v>
      </c>
    </row>
    <row r="37" spans="1:11" ht="15" customHeight="1" x14ac:dyDescent="0.25">
      <c r="A37" s="30" t="s">
        <v>28</v>
      </c>
      <c r="B37" s="30"/>
      <c r="C37" s="30"/>
      <c r="D37" s="30"/>
      <c r="E37" s="30"/>
      <c r="G37" s="30" t="s">
        <v>31</v>
      </c>
      <c r="H37" s="30"/>
      <c r="I37" s="30"/>
      <c r="J37" s="30"/>
      <c r="K37" s="30"/>
    </row>
    <row r="38" spans="1:11" x14ac:dyDescent="0.25">
      <c r="A38" s="29" t="s">
        <v>29</v>
      </c>
      <c r="B38" s="29"/>
      <c r="C38" s="29"/>
      <c r="D38" s="29"/>
      <c r="E38" s="29"/>
      <c r="G38" s="29" t="s">
        <v>32</v>
      </c>
      <c r="H38" s="29"/>
      <c r="I38" s="29"/>
      <c r="J38" s="29"/>
      <c r="K38" s="29"/>
    </row>
    <row r="39" spans="1:11" x14ac:dyDescent="0.25">
      <c r="A39" s="30" t="s">
        <v>30</v>
      </c>
      <c r="B39" s="30"/>
      <c r="C39" s="30"/>
      <c r="D39" s="30"/>
      <c r="E39" s="30"/>
      <c r="G39" s="30" t="s">
        <v>33</v>
      </c>
      <c r="H39" s="30"/>
      <c r="I39" s="30"/>
      <c r="J39" s="30"/>
      <c r="K39" s="30"/>
    </row>
  </sheetData>
  <mergeCells count="45">
    <mergeCell ref="A12:K12"/>
    <mergeCell ref="A1:K1"/>
    <mergeCell ref="A2:K2"/>
    <mergeCell ref="A3:K3"/>
    <mergeCell ref="A4:K4"/>
    <mergeCell ref="B8:C8"/>
    <mergeCell ref="I8:K8"/>
    <mergeCell ref="C9:E9"/>
    <mergeCell ref="J9:K9"/>
    <mergeCell ref="B10:E10"/>
    <mergeCell ref="A18:E18"/>
    <mergeCell ref="G18:J18"/>
    <mergeCell ref="A19:E19"/>
    <mergeCell ref="G19:J19"/>
    <mergeCell ref="A15:E15"/>
    <mergeCell ref="G15:J15"/>
    <mergeCell ref="A16:E16"/>
    <mergeCell ref="G16:J16"/>
    <mergeCell ref="A27:E27"/>
    <mergeCell ref="G27:J27"/>
    <mergeCell ref="A28:E28"/>
    <mergeCell ref="G28:J28"/>
    <mergeCell ref="A26:E26"/>
    <mergeCell ref="A37:E37"/>
    <mergeCell ref="G37:K37"/>
    <mergeCell ref="A38:E38"/>
    <mergeCell ref="G38:K38"/>
    <mergeCell ref="A39:E39"/>
    <mergeCell ref="G39:K39"/>
    <mergeCell ref="A32:E32"/>
    <mergeCell ref="G32:J32"/>
    <mergeCell ref="A6:G7"/>
    <mergeCell ref="A29:E29"/>
    <mergeCell ref="G29:J29"/>
    <mergeCell ref="A30:E30"/>
    <mergeCell ref="G30:J30"/>
    <mergeCell ref="A31:E31"/>
    <mergeCell ref="G31:J31"/>
    <mergeCell ref="A20:E20"/>
    <mergeCell ref="G20:J20"/>
    <mergeCell ref="A22:E22"/>
    <mergeCell ref="A23:E23"/>
    <mergeCell ref="G23:J23"/>
    <mergeCell ref="A24:E24"/>
    <mergeCell ref="G24:J24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08E48-F01F-459B-A751-5390D8A96BFB}">
  <sheetPr codeName="Sheet4"/>
  <dimension ref="A1:Q39"/>
  <sheetViews>
    <sheetView zoomScaleNormal="100" zoomScalePageLayoutView="145" workbookViewId="0">
      <selection activeCell="A5" sqref="A5:K10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N1">
        <v>1</v>
      </c>
      <c r="P1" t="str">
        <f>CONCATENATE(VLOOKUP(N1,DATABASE!A1:I999,3,FALSE)," - FECA")</f>
        <v>45078 - FECA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7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</row>
    <row r="4" spans="1:17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9" t="str">
        <f>VLOOKUP(N1,DATABASE!A1:I999,4,FALSE)</f>
        <v>PAMUGAS, MARK ALFRED</v>
      </c>
      <c r="B6" s="39"/>
      <c r="C6" s="39"/>
      <c r="D6" s="39"/>
      <c r="E6" s="39"/>
      <c r="F6" s="39"/>
      <c r="G6" s="39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9"/>
      <c r="B7" s="39"/>
      <c r="C7" s="39"/>
      <c r="D7" s="39"/>
      <c r="E7" s="39"/>
      <c r="F7" s="39"/>
      <c r="G7" s="39"/>
      <c r="H7" t="s">
        <v>34</v>
      </c>
      <c r="J7" s="15"/>
      <c r="K7" s="15"/>
      <c r="L7" s="15"/>
    </row>
    <row r="8" spans="1:17" x14ac:dyDescent="0.25">
      <c r="A8" t="s">
        <v>1</v>
      </c>
      <c r="B8" s="31">
        <f ca="1">VLOOKUP(N1,DATABASE!A1:I999,6,FALSE)</f>
        <v>25</v>
      </c>
      <c r="C8" s="31"/>
      <c r="D8" t="s">
        <v>36</v>
      </c>
      <c r="E8" s="1" t="str">
        <f>VLOOKUP(N1,DATABASE!A1:I999,7,FALSE)</f>
        <v>MALE</v>
      </c>
      <c r="I8" s="38"/>
      <c r="J8" s="38"/>
      <c r="K8" s="38"/>
    </row>
    <row r="9" spans="1:17" x14ac:dyDescent="0.25">
      <c r="A9" t="s">
        <v>35</v>
      </c>
      <c r="C9" s="31" t="str">
        <f>TEXT(VLOOKUP(N1,DATABASE!A1:I999,5,FALSE),"MM/DD/YYYY")</f>
        <v>07/03/1997</v>
      </c>
      <c r="D9" s="31"/>
      <c r="E9" s="31"/>
      <c r="J9" s="30"/>
      <c r="K9" s="30"/>
    </row>
    <row r="10" spans="1:17" x14ac:dyDescent="0.25">
      <c r="A10" t="s">
        <v>0</v>
      </c>
      <c r="B10" s="31" t="str">
        <f>VLOOKUP(N1,DATABASE!A1:I999,8,FALSE)</f>
        <v>MANILA</v>
      </c>
      <c r="C10" s="31"/>
      <c r="D10" s="31"/>
      <c r="E10" s="31"/>
    </row>
    <row r="11" spans="1:17" ht="6" customHeight="1" x14ac:dyDescent="0.25"/>
    <row r="12" spans="1:17" ht="31.5" x14ac:dyDescent="0.5">
      <c r="A12" s="32" t="s">
        <v>55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40" t="s">
        <v>56</v>
      </c>
      <c r="B15" s="38"/>
      <c r="C15" s="38"/>
      <c r="D15" s="38"/>
      <c r="E15" s="38"/>
      <c r="F15" s="1"/>
      <c r="G15" s="38" t="s">
        <v>54</v>
      </c>
      <c r="H15" s="38"/>
      <c r="I15" s="38"/>
      <c r="J15" s="38"/>
      <c r="K15" s="24"/>
    </row>
    <row r="16" spans="1:17" x14ac:dyDescent="0.25">
      <c r="A16" s="45" t="s">
        <v>39</v>
      </c>
      <c r="B16" s="30"/>
      <c r="C16" s="30"/>
      <c r="D16" s="30"/>
      <c r="E16" s="30"/>
      <c r="G16" s="2"/>
      <c r="H16" s="2"/>
      <c r="I16" s="2"/>
      <c r="J16" s="2"/>
      <c r="K16" s="7"/>
    </row>
    <row r="17" spans="1:11" x14ac:dyDescent="0.25">
      <c r="A17" s="6"/>
      <c r="K17" s="7"/>
    </row>
    <row r="18" spans="1:11" x14ac:dyDescent="0.25">
      <c r="A18" s="45" t="s">
        <v>57</v>
      </c>
      <c r="B18" s="30"/>
      <c r="C18" s="30"/>
      <c r="D18" s="30"/>
      <c r="E18" s="30"/>
      <c r="G18" s="2"/>
      <c r="H18" s="2"/>
      <c r="I18" s="2"/>
      <c r="J18" s="2"/>
      <c r="K18" s="7"/>
    </row>
    <row r="19" spans="1:11" x14ac:dyDescent="0.25">
      <c r="A19" s="12"/>
      <c r="B19" s="14"/>
      <c r="C19" s="14"/>
      <c r="D19" s="14"/>
      <c r="E19" s="14"/>
      <c r="K19" s="7"/>
    </row>
    <row r="20" spans="1:11" x14ac:dyDescent="0.25">
      <c r="A20" s="12"/>
      <c r="B20" s="14"/>
      <c r="C20" s="14"/>
      <c r="D20" s="14"/>
      <c r="E20" s="14"/>
      <c r="G20" s="14"/>
      <c r="H20" s="14"/>
      <c r="I20" s="14"/>
      <c r="J20" s="14"/>
      <c r="K20" s="13"/>
    </row>
    <row r="21" spans="1:11" x14ac:dyDescent="0.25">
      <c r="A21" s="6"/>
      <c r="K21" s="7"/>
    </row>
    <row r="22" spans="1:11" x14ac:dyDescent="0.25">
      <c r="A22" s="40" t="s">
        <v>46</v>
      </c>
      <c r="B22" s="38"/>
      <c r="C22" s="38"/>
      <c r="D22" s="38"/>
      <c r="E22" s="38"/>
      <c r="K22" s="7"/>
    </row>
    <row r="23" spans="1:11" x14ac:dyDescent="0.25">
      <c r="A23" s="45" t="s">
        <v>47</v>
      </c>
      <c r="B23" s="30"/>
      <c r="C23" s="30"/>
      <c r="D23" s="30"/>
      <c r="E23" s="30"/>
      <c r="G23" s="2"/>
      <c r="H23" s="2"/>
      <c r="I23" s="2"/>
      <c r="J23" s="2"/>
      <c r="K23" s="7"/>
    </row>
    <row r="24" spans="1:11" x14ac:dyDescent="0.25">
      <c r="A24" s="45" t="s">
        <v>48</v>
      </c>
      <c r="B24" s="30"/>
      <c r="C24" s="30"/>
      <c r="D24" s="30"/>
      <c r="E24" s="30"/>
      <c r="G24" s="2"/>
      <c r="H24" s="2"/>
      <c r="I24" s="2"/>
      <c r="J24" s="2"/>
      <c r="K24" s="7"/>
    </row>
    <row r="25" spans="1:11" x14ac:dyDescent="0.25">
      <c r="A25" s="12"/>
      <c r="B25" s="14"/>
      <c r="C25" s="14"/>
      <c r="D25" s="14"/>
      <c r="E25" s="14"/>
      <c r="G25" s="14"/>
      <c r="H25" s="14"/>
      <c r="I25" s="14"/>
      <c r="J25" s="14"/>
      <c r="K25" s="13"/>
    </row>
    <row r="26" spans="1:11" x14ac:dyDescent="0.25">
      <c r="A26" s="46" t="s">
        <v>58</v>
      </c>
      <c r="B26" s="36"/>
      <c r="C26" s="36"/>
      <c r="D26" s="36"/>
      <c r="E26" s="36"/>
      <c r="F26" s="36"/>
      <c r="G26" s="36"/>
      <c r="H26" s="36"/>
      <c r="I26" s="36"/>
      <c r="J26" s="36"/>
      <c r="K26" s="37"/>
    </row>
    <row r="27" spans="1:11" x14ac:dyDescent="0.25">
      <c r="A27" s="8"/>
      <c r="B27" s="2"/>
      <c r="C27" s="2"/>
      <c r="D27" s="2"/>
      <c r="E27" s="2"/>
      <c r="F27" s="2"/>
      <c r="G27" s="2"/>
      <c r="H27" s="2"/>
      <c r="I27" s="2"/>
      <c r="J27" s="2"/>
      <c r="K27" s="9"/>
    </row>
    <row r="28" spans="1:11" x14ac:dyDescent="0.25">
      <c r="A28" s="26" t="s">
        <v>79</v>
      </c>
    </row>
    <row r="32" spans="1:11" x14ac:dyDescent="0.25">
      <c r="A32" s="30" t="s">
        <v>28</v>
      </c>
      <c r="B32" s="30"/>
      <c r="C32" s="30"/>
      <c r="D32" s="30"/>
      <c r="E32" s="30"/>
      <c r="G32" s="30" t="s">
        <v>31</v>
      </c>
      <c r="H32" s="30"/>
      <c r="I32" s="30"/>
      <c r="J32" s="30"/>
      <c r="K32" s="30"/>
    </row>
    <row r="33" spans="1:11" x14ac:dyDescent="0.25">
      <c r="A33" s="29" t="s">
        <v>29</v>
      </c>
      <c r="B33" s="29"/>
      <c r="C33" s="29"/>
      <c r="D33" s="29"/>
      <c r="E33" s="29"/>
      <c r="G33" s="29" t="s">
        <v>32</v>
      </c>
      <c r="H33" s="29"/>
      <c r="I33" s="29"/>
      <c r="J33" s="29"/>
      <c r="K33" s="29"/>
    </row>
    <row r="34" spans="1:11" x14ac:dyDescent="0.25">
      <c r="A34" s="30" t="s">
        <v>30</v>
      </c>
      <c r="B34" s="30"/>
      <c r="C34" s="30"/>
      <c r="D34" s="30"/>
      <c r="E34" s="30"/>
      <c r="G34" s="30" t="s">
        <v>33</v>
      </c>
      <c r="H34" s="30"/>
      <c r="I34" s="30"/>
      <c r="J34" s="30"/>
      <c r="K34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29"/>
      <c r="B38" s="29"/>
      <c r="C38" s="29"/>
      <c r="D38" s="29"/>
      <c r="E38" s="29"/>
      <c r="G38" s="29"/>
      <c r="H38" s="29"/>
      <c r="I38" s="29"/>
      <c r="J38" s="29"/>
      <c r="K38" s="29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1">
    <mergeCell ref="A12:K12"/>
    <mergeCell ref="A1:K1"/>
    <mergeCell ref="A2:K2"/>
    <mergeCell ref="A3:K3"/>
    <mergeCell ref="A4:K4"/>
    <mergeCell ref="A6:G7"/>
    <mergeCell ref="B8:C8"/>
    <mergeCell ref="I8:K8"/>
    <mergeCell ref="C9:E9"/>
    <mergeCell ref="J9:K9"/>
    <mergeCell ref="B10:E10"/>
    <mergeCell ref="A24:E24"/>
    <mergeCell ref="A22:E22"/>
    <mergeCell ref="A23:E23"/>
    <mergeCell ref="A15:E15"/>
    <mergeCell ref="G15:J15"/>
    <mergeCell ref="A16:E16"/>
    <mergeCell ref="A18:E18"/>
    <mergeCell ref="A39:E39"/>
    <mergeCell ref="G39:K39"/>
    <mergeCell ref="A26:K26"/>
    <mergeCell ref="G32:K32"/>
    <mergeCell ref="A33:E33"/>
    <mergeCell ref="G33:K33"/>
    <mergeCell ref="A34:E34"/>
    <mergeCell ref="G34:K34"/>
    <mergeCell ref="A32:E32"/>
    <mergeCell ref="A37:E37"/>
    <mergeCell ref="G37:K37"/>
    <mergeCell ref="A38:E38"/>
    <mergeCell ref="G38:K38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1194-D641-4789-95F6-5242CB1F1522}">
  <sheetPr codeName="Sheet5"/>
  <dimension ref="A1:Q39"/>
  <sheetViews>
    <sheetView zoomScaleNormal="100" zoomScalePageLayoutView="145" workbookViewId="0">
      <selection activeCell="A5" sqref="A5:K10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N1">
        <v>1</v>
      </c>
      <c r="P1" t="str">
        <f>CONCATENATE(VLOOKUP(N1,DATABASE!A1:I999,3,FALSE)," - PT")</f>
        <v>45078 - PT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7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</row>
    <row r="4" spans="1:17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9" t="str">
        <f>VLOOKUP(N1,DATABASE!A1:I999,4,FALSE)</f>
        <v>PAMUGAS, MARK ALFRED</v>
      </c>
      <c r="B6" s="39"/>
      <c r="C6" s="39"/>
      <c r="D6" s="39"/>
      <c r="E6" s="39"/>
      <c r="F6" s="39"/>
      <c r="G6" s="39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9"/>
      <c r="B7" s="39"/>
      <c r="C7" s="39"/>
      <c r="D7" s="39"/>
      <c r="E7" s="39"/>
      <c r="F7" s="39"/>
      <c r="G7" s="39"/>
      <c r="H7" t="s">
        <v>34</v>
      </c>
      <c r="J7" s="15"/>
      <c r="K7" s="15"/>
      <c r="L7" s="15"/>
    </row>
    <row r="8" spans="1:17" x14ac:dyDescent="0.25">
      <c r="A8" t="s">
        <v>1</v>
      </c>
      <c r="B8" s="31">
        <f ca="1">VLOOKUP(N1,DATABASE!A1:I999,6,FALSE)</f>
        <v>25</v>
      </c>
      <c r="C8" s="31"/>
      <c r="D8" t="s">
        <v>36</v>
      </c>
      <c r="E8" s="1" t="str">
        <f>VLOOKUP(N1,DATABASE!A1:I999,7,FALSE)</f>
        <v>MALE</v>
      </c>
      <c r="I8" s="38"/>
      <c r="J8" s="38"/>
      <c r="K8" s="38"/>
    </row>
    <row r="9" spans="1:17" x14ac:dyDescent="0.25">
      <c r="A9" t="s">
        <v>35</v>
      </c>
      <c r="C9" s="31" t="str">
        <f>TEXT(VLOOKUP(N1,DATABASE!A1:I999,5,FALSE),"MM/DD/YYYY")</f>
        <v>07/03/1997</v>
      </c>
      <c r="D9" s="31"/>
      <c r="E9" s="31"/>
      <c r="J9" s="30"/>
      <c r="K9" s="30"/>
    </row>
    <row r="10" spans="1:17" x14ac:dyDescent="0.25">
      <c r="A10" t="s">
        <v>0</v>
      </c>
      <c r="B10" s="31" t="str">
        <f>VLOOKUP(N1,DATABASE!A1:I999,8,FALSE)</f>
        <v>MANILA</v>
      </c>
      <c r="C10" s="31"/>
      <c r="D10" s="31"/>
      <c r="E10" s="31"/>
    </row>
    <row r="11" spans="1:17" ht="6" customHeight="1" x14ac:dyDescent="0.25"/>
    <row r="12" spans="1:17" ht="31.5" x14ac:dyDescent="0.5">
      <c r="A12" s="32" t="s">
        <v>72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6"/>
      <c r="K15" s="7"/>
    </row>
    <row r="16" spans="1:17" x14ac:dyDescent="0.25">
      <c r="A16" s="21" t="s">
        <v>73</v>
      </c>
      <c r="F16" s="1"/>
      <c r="K16" s="7"/>
    </row>
    <row r="17" spans="1:11" x14ac:dyDescent="0.25">
      <c r="A17" s="21" t="s">
        <v>74</v>
      </c>
      <c r="K17" s="7"/>
    </row>
    <row r="18" spans="1:11" x14ac:dyDescent="0.25">
      <c r="A18" s="6"/>
      <c r="K18" s="7"/>
    </row>
    <row r="19" spans="1:11" x14ac:dyDescent="0.25">
      <c r="A19" s="6"/>
      <c r="K19" s="7"/>
    </row>
    <row r="20" spans="1:11" x14ac:dyDescent="0.25">
      <c r="A20" s="40" t="s">
        <v>3</v>
      </c>
      <c r="B20" s="38"/>
      <c r="C20" s="38"/>
      <c r="D20" s="38"/>
      <c r="E20" s="38"/>
      <c r="F20" s="1"/>
      <c r="G20" s="38" t="s">
        <v>4</v>
      </c>
      <c r="H20" s="38"/>
      <c r="I20" s="38"/>
      <c r="J20" s="38"/>
      <c r="K20" s="24"/>
    </row>
    <row r="21" spans="1:11" x14ac:dyDescent="0.25">
      <c r="A21" s="12"/>
      <c r="B21" s="14"/>
      <c r="C21" s="14"/>
      <c r="D21" s="14"/>
      <c r="E21" s="14"/>
      <c r="K21" s="7"/>
    </row>
    <row r="22" spans="1:11" ht="18.75" x14ac:dyDescent="0.3">
      <c r="A22" s="48" t="s">
        <v>75</v>
      </c>
      <c r="B22" s="49"/>
      <c r="C22" s="49"/>
      <c r="D22" s="49"/>
      <c r="E22" s="49"/>
      <c r="F22" s="25"/>
      <c r="G22" s="47" t="s">
        <v>77</v>
      </c>
      <c r="H22" s="47"/>
      <c r="I22" s="47"/>
      <c r="J22" s="47"/>
      <c r="K22" s="7"/>
    </row>
    <row r="23" spans="1:11" x14ac:dyDescent="0.25">
      <c r="A23" s="45" t="s">
        <v>76</v>
      </c>
      <c r="B23" s="30"/>
      <c r="C23" s="30"/>
      <c r="D23" s="30"/>
      <c r="E23" s="30"/>
      <c r="I23" t="s">
        <v>78</v>
      </c>
      <c r="K23" s="7"/>
    </row>
    <row r="24" spans="1:11" x14ac:dyDescent="0.25">
      <c r="A24" s="22"/>
      <c r="B24" s="11"/>
      <c r="C24" s="11"/>
      <c r="D24" s="11"/>
      <c r="E24" s="11"/>
      <c r="F24" s="2"/>
      <c r="G24" s="2"/>
      <c r="H24" s="2"/>
      <c r="I24" s="2"/>
      <c r="J24" s="2"/>
      <c r="K24" s="9"/>
    </row>
    <row r="25" spans="1:11" x14ac:dyDescent="0.25">
      <c r="A25" s="26" t="s">
        <v>79</v>
      </c>
    </row>
    <row r="30" spans="1:11" x14ac:dyDescent="0.25">
      <c r="A30" s="30" t="s">
        <v>28</v>
      </c>
      <c r="B30" s="30"/>
      <c r="C30" s="30"/>
      <c r="D30" s="30"/>
      <c r="E30" s="30"/>
      <c r="G30" s="30" t="s">
        <v>31</v>
      </c>
      <c r="H30" s="30"/>
      <c r="I30" s="30"/>
      <c r="J30" s="30"/>
      <c r="K30" s="30"/>
    </row>
    <row r="31" spans="1:11" x14ac:dyDescent="0.25">
      <c r="A31" s="29" t="s">
        <v>29</v>
      </c>
      <c r="B31" s="29"/>
      <c r="C31" s="29"/>
      <c r="D31" s="29"/>
      <c r="E31" s="29"/>
      <c r="G31" s="29" t="s">
        <v>32</v>
      </c>
      <c r="H31" s="29"/>
      <c r="I31" s="29"/>
      <c r="J31" s="29"/>
      <c r="K31" s="29"/>
    </row>
    <row r="32" spans="1:11" x14ac:dyDescent="0.25">
      <c r="A32" s="30" t="s">
        <v>30</v>
      </c>
      <c r="B32" s="30"/>
      <c r="C32" s="30"/>
      <c r="D32" s="30"/>
      <c r="E32" s="30"/>
      <c r="G32" s="30" t="s">
        <v>33</v>
      </c>
      <c r="H32" s="30"/>
      <c r="I32" s="30"/>
      <c r="J32" s="30"/>
      <c r="K32" s="30"/>
    </row>
    <row r="33" spans="1:11" x14ac:dyDescent="0.25">
      <c r="A33" s="29"/>
      <c r="B33" s="29"/>
      <c r="C33" s="29"/>
      <c r="D33" s="29"/>
      <c r="E33" s="29"/>
      <c r="G33" s="29"/>
      <c r="H33" s="29"/>
      <c r="I33" s="29"/>
      <c r="J33" s="29"/>
      <c r="K33" s="29"/>
    </row>
    <row r="34" spans="1:11" x14ac:dyDescent="0.25">
      <c r="A34" s="30"/>
      <c r="B34" s="30"/>
      <c r="C34" s="30"/>
      <c r="D34" s="30"/>
      <c r="E34" s="30"/>
      <c r="G34" s="30"/>
      <c r="H34" s="30"/>
      <c r="I34" s="30"/>
      <c r="J34" s="30"/>
      <c r="K34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29"/>
      <c r="B38" s="29"/>
      <c r="C38" s="29"/>
      <c r="D38" s="29"/>
      <c r="E38" s="29"/>
      <c r="G38" s="29"/>
      <c r="H38" s="29"/>
      <c r="I38" s="29"/>
      <c r="J38" s="29"/>
      <c r="K38" s="29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2">
    <mergeCell ref="A12:K12"/>
    <mergeCell ref="A1:K1"/>
    <mergeCell ref="A2:K2"/>
    <mergeCell ref="A3:K3"/>
    <mergeCell ref="A4:K4"/>
    <mergeCell ref="A6:G7"/>
    <mergeCell ref="B8:C8"/>
    <mergeCell ref="I8:K8"/>
    <mergeCell ref="C9:E9"/>
    <mergeCell ref="J9:K9"/>
    <mergeCell ref="B10:E10"/>
    <mergeCell ref="G32:K32"/>
    <mergeCell ref="A33:E33"/>
    <mergeCell ref="G33:K33"/>
    <mergeCell ref="A22:E22"/>
    <mergeCell ref="A23:E23"/>
    <mergeCell ref="A39:E39"/>
    <mergeCell ref="G39:K39"/>
    <mergeCell ref="A20:E20"/>
    <mergeCell ref="G20:J20"/>
    <mergeCell ref="G22:J22"/>
    <mergeCell ref="A30:E30"/>
    <mergeCell ref="G30:K30"/>
    <mergeCell ref="A31:E31"/>
    <mergeCell ref="G31:K31"/>
    <mergeCell ref="A34:E34"/>
    <mergeCell ref="G34:K34"/>
    <mergeCell ref="A37:E37"/>
    <mergeCell ref="G37:K37"/>
    <mergeCell ref="A38:E38"/>
    <mergeCell ref="G38:K38"/>
    <mergeCell ref="A32:E32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CE610-4593-49F5-A2C5-BA4970F8531B}">
  <sheetPr codeName="Sheet6"/>
  <dimension ref="A1:Q39"/>
  <sheetViews>
    <sheetView zoomScaleNormal="100" zoomScalePageLayoutView="145" workbookViewId="0">
      <selection activeCell="L24" sqref="L24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N1">
        <v>1</v>
      </c>
      <c r="P1" t="str">
        <f>CONCATENATE(VLOOKUP(N1,DATABASE!A1:I999,3,FALSE)," - BT")</f>
        <v>45078 - BT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7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</row>
    <row r="4" spans="1:17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9" t="str">
        <f>VLOOKUP(N1,DATABASE!A1:I999,4,FALSE)</f>
        <v>PAMUGAS, MARK ALFRED</v>
      </c>
      <c r="B6" s="39"/>
      <c r="C6" s="39"/>
      <c r="D6" s="39"/>
      <c r="E6" s="39"/>
      <c r="F6" s="39"/>
      <c r="G6" s="39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9"/>
      <c r="B7" s="39"/>
      <c r="C7" s="39"/>
      <c r="D7" s="39"/>
      <c r="E7" s="39"/>
      <c r="F7" s="39"/>
      <c r="G7" s="39"/>
      <c r="H7" t="s">
        <v>34</v>
      </c>
      <c r="J7" s="15"/>
      <c r="K7" s="15"/>
      <c r="L7" s="15"/>
    </row>
    <row r="8" spans="1:17" x14ac:dyDescent="0.25">
      <c r="A8" t="s">
        <v>1</v>
      </c>
      <c r="B8" s="31">
        <f ca="1">VLOOKUP(N1,DATABASE!A1:I999,6,FALSE)</f>
        <v>25</v>
      </c>
      <c r="C8" s="31"/>
      <c r="D8" t="s">
        <v>36</v>
      </c>
      <c r="E8" s="1" t="str">
        <f>VLOOKUP(N1,DATABASE!A1:I999,7,FALSE)</f>
        <v>MALE</v>
      </c>
      <c r="I8" s="38"/>
      <c r="J8" s="38"/>
      <c r="K8" s="38"/>
    </row>
    <row r="9" spans="1:17" x14ac:dyDescent="0.25">
      <c r="A9" t="s">
        <v>35</v>
      </c>
      <c r="C9" s="31" t="str">
        <f>TEXT(VLOOKUP(N1,DATABASE!A1:I999,5,FALSE),"MM/DD/YYYY")</f>
        <v>07/03/1997</v>
      </c>
      <c r="D9" s="31"/>
      <c r="E9" s="31"/>
      <c r="J9" s="30"/>
      <c r="K9" s="30"/>
    </row>
    <row r="10" spans="1:17" x14ac:dyDescent="0.25">
      <c r="A10" t="s">
        <v>0</v>
      </c>
      <c r="B10" s="31" t="str">
        <f>VLOOKUP(N1,DATABASE!A1:I999,8,FALSE)</f>
        <v>MANILA</v>
      </c>
      <c r="C10" s="31"/>
      <c r="D10" s="31"/>
      <c r="E10" s="31"/>
    </row>
    <row r="11" spans="1:17" ht="6" customHeight="1" x14ac:dyDescent="0.25"/>
    <row r="12" spans="1:17" ht="31.5" x14ac:dyDescent="0.5">
      <c r="A12" s="32" t="s">
        <v>2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6"/>
      <c r="K15" s="7"/>
    </row>
    <row r="16" spans="1:17" x14ac:dyDescent="0.25">
      <c r="A16" s="45" t="s">
        <v>59</v>
      </c>
      <c r="B16" s="30"/>
      <c r="C16" s="30"/>
      <c r="D16" s="30"/>
      <c r="E16" s="30"/>
      <c r="G16" s="30" t="s">
        <v>60</v>
      </c>
      <c r="H16" s="30"/>
      <c r="I16" s="30"/>
      <c r="J16" s="30"/>
      <c r="K16" s="44"/>
    </row>
    <row r="17" spans="1:11" x14ac:dyDescent="0.25">
      <c r="A17" s="50" t="s">
        <v>80</v>
      </c>
      <c r="B17" s="51"/>
      <c r="C17" s="51"/>
      <c r="D17" s="51"/>
      <c r="E17" s="51"/>
      <c r="G17" s="30"/>
      <c r="H17" s="30"/>
      <c r="I17" s="30"/>
      <c r="J17" s="30"/>
      <c r="K17" s="44"/>
    </row>
    <row r="18" spans="1:11" x14ac:dyDescent="0.25">
      <c r="A18" s="50"/>
      <c r="B18" s="51"/>
      <c r="C18" s="51"/>
      <c r="D18" s="51"/>
      <c r="E18" s="51"/>
      <c r="G18" s="30"/>
      <c r="H18" s="30"/>
      <c r="I18" s="30"/>
      <c r="J18" s="30"/>
      <c r="K18" s="44"/>
    </row>
    <row r="19" spans="1:11" x14ac:dyDescent="0.25">
      <c r="A19" s="50"/>
      <c r="B19" s="51"/>
      <c r="C19" s="51"/>
      <c r="D19" s="51"/>
      <c r="E19" s="51"/>
      <c r="G19" s="30"/>
      <c r="H19" s="30"/>
      <c r="I19" s="30"/>
      <c r="J19" s="30"/>
      <c r="K19" s="44"/>
    </row>
    <row r="20" spans="1:11" x14ac:dyDescent="0.25">
      <c r="A20" s="50"/>
      <c r="B20" s="51"/>
      <c r="C20" s="51"/>
      <c r="D20" s="51"/>
      <c r="E20" s="51"/>
      <c r="G20" s="30"/>
      <c r="H20" s="30"/>
      <c r="I20" s="30"/>
      <c r="J20" s="30"/>
      <c r="K20" s="44"/>
    </row>
    <row r="21" spans="1:11" x14ac:dyDescent="0.25">
      <c r="A21" s="50"/>
      <c r="B21" s="51"/>
      <c r="C21" s="51"/>
      <c r="D21" s="51"/>
      <c r="E21" s="51"/>
      <c r="G21" s="30"/>
      <c r="H21" s="30"/>
      <c r="I21" s="30"/>
      <c r="J21" s="30"/>
      <c r="K21" s="44"/>
    </row>
    <row r="22" spans="1:11" x14ac:dyDescent="0.25">
      <c r="A22" s="6"/>
      <c r="K22" s="7"/>
    </row>
    <row r="23" spans="1:11" x14ac:dyDescent="0.25">
      <c r="A23" s="8"/>
      <c r="B23" s="2"/>
      <c r="C23" s="2"/>
      <c r="D23" s="2"/>
      <c r="E23" s="2"/>
      <c r="F23" s="2"/>
      <c r="G23" s="2"/>
      <c r="H23" s="2"/>
      <c r="I23" s="2"/>
      <c r="J23" s="2"/>
      <c r="K23" s="9"/>
    </row>
    <row r="24" spans="1:11" x14ac:dyDescent="0.25">
      <c r="A24" s="26" t="s">
        <v>79</v>
      </c>
    </row>
    <row r="28" spans="1:11" x14ac:dyDescent="0.25">
      <c r="A28" s="30" t="s">
        <v>28</v>
      </c>
      <c r="B28" s="30"/>
      <c r="C28" s="30"/>
      <c r="D28" s="30"/>
      <c r="E28" s="30"/>
      <c r="G28" s="30" t="s">
        <v>31</v>
      </c>
      <c r="H28" s="30"/>
      <c r="I28" s="30"/>
      <c r="J28" s="30"/>
      <c r="K28" s="30"/>
    </row>
    <row r="29" spans="1:11" x14ac:dyDescent="0.25">
      <c r="A29" s="29" t="s">
        <v>29</v>
      </c>
      <c r="B29" s="29"/>
      <c r="C29" s="29"/>
      <c r="D29" s="29"/>
      <c r="E29" s="29"/>
      <c r="G29" s="29" t="s">
        <v>32</v>
      </c>
      <c r="H29" s="29"/>
      <c r="I29" s="29"/>
      <c r="J29" s="29"/>
      <c r="K29" s="29"/>
    </row>
    <row r="30" spans="1:11" x14ac:dyDescent="0.25">
      <c r="A30" s="30" t="s">
        <v>30</v>
      </c>
      <c r="B30" s="30"/>
      <c r="C30" s="30"/>
      <c r="D30" s="30"/>
      <c r="E30" s="30"/>
      <c r="G30" s="30" t="s">
        <v>33</v>
      </c>
      <c r="H30" s="30"/>
      <c r="I30" s="30"/>
      <c r="J30" s="30"/>
      <c r="K30" s="30"/>
    </row>
    <row r="31" spans="1:11" x14ac:dyDescent="0.25">
      <c r="A31" s="29"/>
      <c r="B31" s="29"/>
      <c r="C31" s="29"/>
      <c r="D31" s="29"/>
      <c r="E31" s="29"/>
      <c r="G31" s="29"/>
      <c r="H31" s="29"/>
      <c r="I31" s="29"/>
      <c r="J31" s="29"/>
      <c r="K31" s="29"/>
    </row>
    <row r="32" spans="1:11" x14ac:dyDescent="0.25">
      <c r="A32" s="30"/>
      <c r="B32" s="30"/>
      <c r="C32" s="30"/>
      <c r="D32" s="30"/>
      <c r="E32" s="30"/>
      <c r="G32" s="30"/>
      <c r="H32" s="30"/>
      <c r="I32" s="30"/>
      <c r="J32" s="30"/>
      <c r="K32" s="30"/>
    </row>
    <row r="33" spans="1:11" x14ac:dyDescent="0.25">
      <c r="A33" s="29"/>
      <c r="B33" s="29"/>
      <c r="C33" s="29"/>
      <c r="D33" s="29"/>
      <c r="E33" s="29"/>
      <c r="G33" s="29"/>
      <c r="H33" s="29"/>
      <c r="I33" s="29"/>
      <c r="J33" s="29"/>
      <c r="K33" s="29"/>
    </row>
    <row r="34" spans="1:11" x14ac:dyDescent="0.25">
      <c r="A34" s="30"/>
      <c r="B34" s="30"/>
      <c r="C34" s="30"/>
      <c r="D34" s="30"/>
      <c r="E34" s="30"/>
      <c r="G34" s="30"/>
      <c r="H34" s="30"/>
      <c r="I34" s="30"/>
      <c r="J34" s="30"/>
      <c r="K34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29"/>
      <c r="B38" s="29"/>
      <c r="C38" s="29"/>
      <c r="D38" s="29"/>
      <c r="E38" s="29"/>
      <c r="G38" s="29"/>
      <c r="H38" s="29"/>
      <c r="I38" s="29"/>
      <c r="J38" s="29"/>
      <c r="K38" s="29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5">
    <mergeCell ref="A1:K1"/>
    <mergeCell ref="A2:K2"/>
    <mergeCell ref="A3:K3"/>
    <mergeCell ref="A4:K4"/>
    <mergeCell ref="A6:G7"/>
    <mergeCell ref="A30:E30"/>
    <mergeCell ref="G30:K30"/>
    <mergeCell ref="B8:C8"/>
    <mergeCell ref="I8:K8"/>
    <mergeCell ref="C9:E9"/>
    <mergeCell ref="J9:K9"/>
    <mergeCell ref="B10:E10"/>
    <mergeCell ref="A12:K12"/>
    <mergeCell ref="A31:E31"/>
    <mergeCell ref="G31:K31"/>
    <mergeCell ref="A32:E32"/>
    <mergeCell ref="G32:K32"/>
    <mergeCell ref="A33:E33"/>
    <mergeCell ref="G33:K33"/>
    <mergeCell ref="A39:E39"/>
    <mergeCell ref="G39:K39"/>
    <mergeCell ref="A16:E16"/>
    <mergeCell ref="G16:K16"/>
    <mergeCell ref="A17:E21"/>
    <mergeCell ref="G17:K21"/>
    <mergeCell ref="A28:E28"/>
    <mergeCell ref="G28:K28"/>
    <mergeCell ref="A29:E29"/>
    <mergeCell ref="G29:K29"/>
    <mergeCell ref="A34:E34"/>
    <mergeCell ref="G34:K34"/>
    <mergeCell ref="A37:E37"/>
    <mergeCell ref="G37:K37"/>
    <mergeCell ref="A38:E38"/>
    <mergeCell ref="G38:K38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DATABASE</vt:lpstr>
      <vt:lpstr>CBC</vt:lpstr>
      <vt:lpstr>URINALYSIS</vt:lpstr>
      <vt:lpstr>FECALYSIS</vt:lpstr>
      <vt:lpstr>PT</vt:lpstr>
      <vt:lpstr>BT</vt:lpstr>
      <vt:lpstr>BT!Print_Area</vt:lpstr>
      <vt:lpstr>CBC!Print_Area</vt:lpstr>
      <vt:lpstr>FECALYSIS!Print_Area</vt:lpstr>
      <vt:lpstr>PT!Print_Area</vt:lpstr>
      <vt:lpstr>URINALYSIS!Print_Area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TLG-PC2</dc:creator>
  <cp:lastModifiedBy>Mark</cp:lastModifiedBy>
  <cp:lastPrinted>2023-06-07T00:33:10Z</cp:lastPrinted>
  <dcterms:created xsi:type="dcterms:W3CDTF">2023-04-20T05:37:55Z</dcterms:created>
  <dcterms:modified xsi:type="dcterms:W3CDTF">2023-06-07T00:33:19Z</dcterms:modified>
</cp:coreProperties>
</file>