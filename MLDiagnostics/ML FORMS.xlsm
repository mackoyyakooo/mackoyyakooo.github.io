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Github\mackoyyakooo.github.io\MLDiagnostics\"/>
    </mc:Choice>
  </mc:AlternateContent>
  <xr:revisionPtr revIDLastSave="0" documentId="13_ncr:1_{41410EC8-78E3-466B-BFB7-97B8F06164B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BASE" sheetId="7" r:id="rId1"/>
    <sheet name="tblTransaction" sheetId="24" r:id="rId2"/>
    <sheet name="URINALYSIS" sheetId="12" r:id="rId3"/>
    <sheet name="CBC" sheetId="20" r:id="rId4"/>
    <sheet name="FECA" sheetId="21" r:id="rId5"/>
    <sheet name="PT" sheetId="22" r:id="rId6"/>
    <sheet name="BT" sheetId="23" r:id="rId7"/>
  </sheets>
  <definedNames>
    <definedName name="ExternalData_1" localSheetId="1" hidden="1">tblTransaction!$B$1:$G$2</definedName>
    <definedName name="_xlnm.Print_Area" localSheetId="6">BT!$A$1:$K$31</definedName>
    <definedName name="_xlnm.Print_Area" localSheetId="3">CBC!$A$1:$K$39</definedName>
    <definedName name="_xlnm.Print_Area" localSheetId="4">FECA!$A$1:$K$35</definedName>
    <definedName name="_xlnm.Print_Area" localSheetId="5">PT!$A$1:$K$34</definedName>
    <definedName name="_xlnm.Print_Area" localSheetId="2">URINALYSIS!$A$1:$K$42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7" l="1"/>
  <c r="D2" i="7"/>
  <c r="P1" i="23" s="1"/>
  <c r="C2" i="7"/>
  <c r="B7" i="12"/>
  <c r="P1" i="12" l="1"/>
  <c r="P1" i="20"/>
  <c r="P1" i="21"/>
  <c r="P1" i="22"/>
  <c r="J10" i="23"/>
  <c r="B10" i="23"/>
  <c r="J9" i="23"/>
  <c r="B9" i="23"/>
  <c r="J8" i="23"/>
  <c r="J7" i="23"/>
  <c r="Q1" i="23" s="1"/>
  <c r="B7" i="23"/>
  <c r="J10" i="22"/>
  <c r="B10" i="22"/>
  <c r="J9" i="22"/>
  <c r="B9" i="22"/>
  <c r="J8" i="22"/>
  <c r="J7" i="22"/>
  <c r="Q1" i="22" s="1"/>
  <c r="B7" i="22"/>
  <c r="J10" i="21"/>
  <c r="B10" i="21"/>
  <c r="J9" i="21"/>
  <c r="B9" i="21"/>
  <c r="J8" i="21"/>
  <c r="J7" i="21"/>
  <c r="Q1" i="21" s="1"/>
  <c r="B7" i="21"/>
  <c r="J10" i="20"/>
  <c r="B10" i="20"/>
  <c r="J9" i="20"/>
  <c r="B9" i="20"/>
  <c r="J8" i="20"/>
  <c r="J7" i="20"/>
  <c r="Q1" i="20" s="1"/>
  <c r="B7" i="20"/>
  <c r="J8" i="12"/>
  <c r="J10" i="12"/>
  <c r="J9" i="12"/>
  <c r="B9" i="12"/>
  <c r="J7" i="12"/>
  <c r="Q1" i="12" s="1"/>
  <c r="B10" i="12"/>
  <c r="G39" i="12" l="1"/>
  <c r="A39" i="12"/>
  <c r="G29" i="23"/>
  <c r="G32" i="22"/>
  <c r="G33" i="21"/>
  <c r="G37" i="20"/>
  <c r="A29" i="23"/>
  <c r="A32" i="22"/>
  <c r="A33" i="21"/>
  <c r="A37" i="20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2" i="7" l="1"/>
  <c r="B8" i="23" s="1"/>
  <c r="B8" i="20" l="1"/>
  <c r="B8" i="22"/>
  <c r="B8" i="21"/>
  <c r="B8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ED3845-F8CD-405A-8AD8-D3C666B6F340}" keepAlive="1" name="Query - tblTransaction" description="Connection to the 'tblTransaction' query in the workbook." type="5" refreshedVersion="8" background="1" saveData="1">
    <dbPr connection="Provider=Microsoft.Mashup.OleDb.1;Data Source=$Workbook$;Location=tblTransaction;Extended Properties=&quot;&quot;" command="SELECT * FROM [tblTransaction]"/>
  </connection>
</connections>
</file>

<file path=xl/sharedStrings.xml><?xml version="1.0" encoding="utf-8"?>
<sst xmlns="http://schemas.openxmlformats.org/spreadsheetml/2006/main" count="308" uniqueCount="212">
  <si>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</si>
  <si>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</si>
  <si>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</si>
  <si>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</si>
  <si>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</si>
  <si>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</si>
  <si>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</si>
  <si>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</si>
  <si>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</si>
  <si>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</si>
  <si>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</si>
  <si>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</si>
  <si>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</si>
  <si>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</si>
  <si>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</si>
  <si>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</si>
  <si>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</si>
  <si>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</si>
  <si>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</si>
  <si>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</si>
  <si>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</si>
  <si>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</si>
  <si>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</si>
  <si>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</si>
  <si>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</si>
  <si>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</si>
  <si>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</si>
  <si>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</si>
  <si>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</si>
  <si>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</si>
  <si>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</si>
  <si>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</si>
  <si>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</si>
  <si>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</si>
  <si>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</si>
  <si>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</si>
  <si>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</si>
  <si>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</si>
  <si>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</si>
  <si>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</si>
  <si>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</si>
  <si>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</si>
  <si>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</si>
  <si>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</si>
  <si>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</si>
  <si>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</si>
  <si>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</si>
  <si>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</si>
  <si>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</si>
  <si>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</si>
  <si>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</si>
  <si>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</si>
  <si>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</si>
  <si>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</si>
  <si>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</si>
  <si>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</si>
  <si>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</si>
  <si>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</si>
  <si>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</si>
  <si>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</si>
  <si>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</si>
  <si>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</si>
  <si>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</si>
  <si>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</si>
  <si>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</si>
  <si>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</si>
  <si>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</si>
  <si>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</si>
  <si>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</si>
  <si>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</si>
  <si>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</si>
  <si>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</si>
  <si>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</si>
  <si>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</si>
  <si>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</si>
  <si>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</si>
  <si>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</si>
  <si>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</si>
  <si>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</si>
  <si>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</si>
  <si>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</si>
  <si>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</si>
  <si>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</si>
  <si>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</si>
  <si>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</si>
  <si>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</si>
  <si>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</si>
  <si>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</si>
  <si>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</si>
  <si>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</si>
  <si>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</si>
  <si>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</si>
  <si>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</si>
  <si>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</si>
  <si>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</si>
  <si>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</si>
  <si>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</si>
  <si>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</si>
  <si>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</si>
  <si>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</si>
  <si>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</si>
  <si>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</si>
  <si>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</si>
  <si>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</si>
  <si>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</si>
  <si>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</si>
  <si>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</si>
  <si>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</si>
  <si>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</si>
  <si>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</si>
  <si>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</si>
  <si>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</si>
  <si>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</si>
  <si>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</si>
  <si>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</si>
  <si>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</si>
  <si>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</si>
  <si>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</si>
  <si>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</si>
  <si>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</si>
  <si>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</si>
  <si>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</si>
  <si>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</si>
  <si>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</si>
  <si>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</si>
  <si>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</si>
  <si>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</si>
  <si>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</si>
  <si>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</si>
  <si>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</si>
  <si>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</si>
  <si>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</si>
  <si>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</si>
  <si>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</si>
  <si>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</si>
  <si>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</si>
  <si>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</si>
  <si>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</si>
  <si>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</si>
  <si>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</si>
  <si>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</si>
  <si>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</si>
  <si>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</si>
  <si>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</si>
  <si>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</si>
  <si>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</si>
  <si>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</si>
  <si>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</si>
  <si>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</si>
  <si>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</si>
  <si>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</si>
  <si>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</si>
  <si>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</si>
  <si>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</si>
  <si>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</si>
  <si>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</si>
  <si>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</si>
  <si>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</si>
  <si>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</si>
  <si>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</si>
  <si>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</si>
  <si>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</si>
  <si>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</si>
  <si>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</si>
  <si>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</si>
  <si>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</si>
  <si>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</si>
  <si>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</si>
  <si>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</si>
  <si>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</si>
  <si>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</si>
  <si>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</si>
  <si>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</si>
  <si>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</si>
  <si>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</si>
  <si>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</si>
  <si>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</si>
  <si>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</si>
  <si>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</si>
  <si>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</si>
  <si>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</si>
  <si>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</si>
  <si>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</si>
  <si>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</si>
  <si>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</si>
  <si>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</si>
  <si>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</si>
  <si>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</si>
  <si>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</si>
  <si>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</si>
  <si>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</si>
  <si>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</si>
  <si>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</si>
  <si>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FEMALE</t>
  </si>
  <si>
    <t xml:space="preserve">Governor Yulo Drive Brgy. Quezon Arevalo, Iloilo City         </t>
  </si>
  <si>
    <t xml:space="preserve">Telephone No.: (033)3215439, 09392828878 and 09667562388      </t>
  </si>
  <si>
    <t>DOH License No.: 06-0279-21-CL-2</t>
  </si>
  <si>
    <t>ML Diagnostic Center</t>
  </si>
  <si>
    <t>Name:</t>
  </si>
  <si>
    <t>Birthdate:</t>
  </si>
  <si>
    <t>D:\Mark Files\Github\mackoyyakooo.github.io\MLDiagnostics\Results\RMT ESIG\</t>
  </si>
  <si>
    <t>Aurora-Mel_C._Sebastian.png</t>
  </si>
  <si>
    <t>TransactionDate</t>
  </si>
  <si>
    <t>TransactionID</t>
  </si>
  <si>
    <t>CustomerLastName</t>
  </si>
  <si>
    <t>CustomerFirstName</t>
  </si>
  <si>
    <t>CustomerBirthday</t>
  </si>
  <si>
    <t>Remarks</t>
  </si>
  <si>
    <t>PAMUGAS</t>
  </si>
  <si>
    <t>MARK ALFRED</t>
  </si>
  <si>
    <t>7/3/1997 10:52:26 PM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</si>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</sst>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2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0" fillId="0" borderId="0" xfId="0" applyFont="1" applyAlignment="1">
      <alignment vertical="top" wrapText="1"/>
    </xf>
    <xf numFmtId="164" fontId="1" fillId="0" borderId="0" xfId="0" applyNumberFormat="1" applyFont="1" applyAlignment="1">
      <alignment horizontal="left"/>
    </xf>
    <xf numFmtId="0" fontId="13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5" fillId="0" borderId="0" xfId="0" applyFont="1" applyAlignment="1">
      <alignment horizontal="left" vertical="top"/>
    </xf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7" fillId="0" borderId="0" xfId="0" applyFont="1" applyAlignment="1">
      <alignment horizontal="left" wrapText="1" indent="14"/>
    </xf>
    <xf numFmtId="0" fontId="7" fillId="0" borderId="0" xfId="0" applyFont="1" applyAlignment="1">
      <alignment horizontal="left" indent="14"/>
    </xf>
    <xf numFmtId="0" fontId="1" fillId="0" borderId="0" xfId="0" applyFont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left" indent="1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6"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3639DC-5912-42D0-BE1E-51B402E75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A9B2FC2B-D0EA-4940-81EF-94C974A9F007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3175</xdr:rowOff>
    </xdr:to>
    <xdr:pic>
      <xdr:nvPicPr>
        <xdr:cNvPr id="19" name="AddImageToCollected">
          <a:extLst>
            <a:ext uri="{FF2B5EF4-FFF2-40B4-BE49-F238E27FC236}">
              <a16:creationId xmlns:a16="http://schemas.microsoft.com/office/drawing/2014/main" id="{760C36F7-AFBC-0F3F-0486-FDE2071DD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477125"/>
          <a:ext cx="1270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6A0297B-79C6-4C18-A845-72CCE10B11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17C261AF-4054-4E24-BCE1-3F45A6BBC8D6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0A7D21-867D-4841-8C07-942722F9A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C73B4B04-6664-4504-884A-77A7F9D6DC6C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DFB26C29-3CFB-456A-99B6-BF4B3E8B25B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8" name="TextBox 7">
          <a:extLst>
            <a:ext uri="{FF2B5EF4-FFF2-40B4-BE49-F238E27FC236}">
              <a16:creationId xmlns:a16="http://schemas.microsoft.com/office/drawing/2014/main" id="{51AC9A56-0935-4A3A-B94F-D4AD7A289CAB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127000</xdr:rowOff>
    </xdr:to>
    <xdr:pic>
      <xdr:nvPicPr>
        <xdr:cNvPr id="10" name="AddImageToCollected">
          <a:extLst>
            <a:ext uri="{FF2B5EF4-FFF2-40B4-BE49-F238E27FC236}">
              <a16:creationId xmlns:a16="http://schemas.microsoft.com/office/drawing/2014/main" id="{4B8AADB2-FC00-820D-3666-89E670051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600950"/>
          <a:ext cx="1270000" cy="8890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C8BCE72A-8C40-4745-B5F1-2B318276C1C3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9" name="TextBox 8">
          <a:extLst>
            <a:ext uri="{FF2B5EF4-FFF2-40B4-BE49-F238E27FC236}">
              <a16:creationId xmlns:a16="http://schemas.microsoft.com/office/drawing/2014/main" id="{3113831B-AEA1-41C0-9E04-55C3F36C29D1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1D8CAD47-2CB6-4862-86CC-359D86FD24EA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85869AB-2D11-4CCC-926D-00721F0F6E36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D832014D-E225-42BA-9751-FCDB6E333BD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11050F-30EB-4E13-8BB0-05FD3EB4C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EB861C81-41DF-4F2E-9BCD-D25B7CCDF5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A3CDFCE1-8A8C-4168-9584-CC4F56E97A3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8" name="TextBox 7">
          <a:extLst>
            <a:ext uri="{FF2B5EF4-FFF2-40B4-BE49-F238E27FC236}">
              <a16:creationId xmlns:a16="http://schemas.microsoft.com/office/drawing/2014/main" id="{3CC07EE7-91F7-4A68-A10D-D131F1EC9AD5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9" name="TextBox 8">
          <a:extLst>
            <a:ext uri="{FF2B5EF4-FFF2-40B4-BE49-F238E27FC236}">
              <a16:creationId xmlns:a16="http://schemas.microsoft.com/office/drawing/2014/main" id="{18AE60E2-2C1D-4CF2-8719-78A2FB07F83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697253D4-5C47-4E0A-93B8-9EB5B5564E7E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E0412DDC-6BFE-4CA8-94DD-D4C1FD317960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1" name="TextBox 10">
          <a:extLst>
            <a:ext uri="{FF2B5EF4-FFF2-40B4-BE49-F238E27FC236}">
              <a16:creationId xmlns:a16="http://schemas.microsoft.com/office/drawing/2014/main" id="{CD91B43C-AC35-4EB7-B4AC-EED50E869099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2" name="TextBox 11">
          <a:extLst>
            <a:ext uri="{FF2B5EF4-FFF2-40B4-BE49-F238E27FC236}">
              <a16:creationId xmlns:a16="http://schemas.microsoft.com/office/drawing/2014/main" id="{203DC95C-D415-4FD7-8A74-116B28D1A680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02E51A6-4265-4EAF-8DD9-DF8B8D61DD2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38515FB-C2D1-4F07-AA42-33A0A9AB780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F62986-411C-42DE-913D-E1B1C523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CF3304-D28F-4022-8CC1-8EDBFE95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401A56A2-65E7-4B07-A370-BCF1497182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58FEEC2F-68ED-477D-8188-E9632018B0E9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9E9C6A0B-9B80-4364-84E0-4B6A8F2E34AF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410A7100-A1C9-41C0-BCDD-688C0D8B01F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A1E66F95-9B7F-40C9-9334-79A7CD477A53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7FB900A6-C37C-45FA-9ABD-DDBE535386C8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2" name="TextBox 11">
          <a:extLst>
            <a:ext uri="{FF2B5EF4-FFF2-40B4-BE49-F238E27FC236}">
              <a16:creationId xmlns:a16="http://schemas.microsoft.com/office/drawing/2014/main" id="{BB561A70-B69C-479B-8D5C-FD82C7B6A1D4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3" name="TextBox 12">
          <a:extLst>
            <a:ext uri="{FF2B5EF4-FFF2-40B4-BE49-F238E27FC236}">
              <a16:creationId xmlns:a16="http://schemas.microsoft.com/office/drawing/2014/main" id="{09D6627A-003C-4BA8-90A9-CF815E357039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3B84CEE8-CC96-4B71-A887-59A9066B0A7B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0EFFC2A-1EAC-44B5-9B0F-8B9316F4B75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75190D-EB82-467D-BE97-DF14303F6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E9AF687-9355-46AF-871A-69744BE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CE8398E5-AC24-4A5A-AF9B-A3B0F867B44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C879869B-03E1-4E68-B5BD-752FADC0EB5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225E0CF3-55B8-4314-A112-8E6DC8E178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6E2C7193-EF8B-4980-8F90-6005DC08CA0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C233AB57-7807-451F-9B44-55DA07E35B8D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B998D1CC-A6B2-4475-B588-6715D01C74C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2" name="TextBox 11">
          <a:extLst>
            <a:ext uri="{FF2B5EF4-FFF2-40B4-BE49-F238E27FC236}">
              <a16:creationId xmlns:a16="http://schemas.microsoft.com/office/drawing/2014/main" id="{471E6118-5C59-4D24-BBD3-4E14E0A557C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3" name="TextBox 12">
          <a:extLst>
            <a:ext uri="{FF2B5EF4-FFF2-40B4-BE49-F238E27FC236}">
              <a16:creationId xmlns:a16="http://schemas.microsoft.com/office/drawing/2014/main" id="{3E4809AE-101D-4281-83BD-16F9F2A3ED18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36E451-B674-4350-85C2-E1D75D250CCA}" autoFormatId="16" applyNumberFormats="0" applyBorderFormats="0" applyFontFormats="0" applyPatternFormats="0" applyAlignmentFormats="0" applyWidthHeightFormats="0">
  <queryTableRefresh nextId="14">
    <queryTableFields count="6">
      <queryTableField id="1" name="TransactionDate" tableColumnId="1"/>
      <queryTableField id="2" name="TransactionID" tableColumnId="2"/>
      <queryTableField id="3" name="CustomerLastName" tableColumnId="3"/>
      <queryTableField id="4" name="CustomerFirstName" tableColumnId="4"/>
      <queryTableField id="5" name="CustomerBirthday" tableColumnId="5"/>
      <queryTableField id="11" name="Remarks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61883-AF9D-48F5-96A9-9493377F7BEB}" name="tblTransaction" displayName="tblTransaction" ref="B1:G2" tableType="queryTable" totalsRowShown="0">
  <autoFilter ref="B1:G2" xr:uid="{B8D61883-AF9D-48F5-96A9-9493377F7BEB}"/>
  <tableColumns count="6">
    <tableColumn id="1" xr3:uid="{208D0A9F-D4A6-4562-8E19-3A5B67B1C678}" uniqueName="1" name="TransactionDate" queryTableFieldId="1" dataDxfId="5"/>
    <tableColumn id="2" xr3:uid="{1557BA9D-92E8-42DD-9121-F85A4E692CCA}" uniqueName="2" name="TransactionID" queryTableFieldId="2" dataDxfId="4"/>
    <tableColumn id="3" xr3:uid="{8607132B-8FF3-463F-AA04-C1AF625A3AE8}" uniqueName="3" name="CustomerLastName" queryTableFieldId="3" dataDxfId="3"/>
    <tableColumn id="4" xr3:uid="{6E2AA3F6-3592-494B-8DCD-28BDE0EFA39C}" uniqueName="4" name="CustomerFirstName" queryTableFieldId="4" dataDxfId="2"/>
    <tableColumn id="5" xr3:uid="{8DE37CD4-FA97-4F01-AE17-2B2A371BB700}" uniqueName="5" name="CustomerBirthday" queryTableFieldId="5" dataDxfId="1"/>
    <tableColumn id="11" xr3:uid="{BD7D814C-103E-4D14-AD19-BFE7989BBD18}" uniqueName="11" name="Remarks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zoomScaleNormal="100" workbookViewId="0">
      <selection activeCell="H2" sqref="H2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66</v>
      </c>
      <c r="B1" s="16" t="s">
        <v>80</v>
      </c>
      <c r="C1" s="16" t="s">
        <v>61</v>
      </c>
      <c r="D1" s="16" t="s">
        <v>60</v>
      </c>
      <c r="E1" s="16" t="s">
        <v>62</v>
      </c>
      <c r="F1" s="16" t="s">
        <v>69</v>
      </c>
      <c r="G1" s="16" t="s">
        <v>63</v>
      </c>
      <c r="H1" s="16" t="s">
        <v>64</v>
      </c>
      <c r="I1" s="16" t="s">
        <v>65</v>
      </c>
    </row>
    <row r="2" spans="1:9" x14ac:dyDescent="0.25">
      <c r="A2" s="14">
        <v>1</v>
      </c>
      <c r="B2" s="14" t="s">
        <v>81</v>
      </c>
      <c r="C2" s="27">
        <f>VLOOKUP(A2,tblTransaction!A:N,2,FALSE)</f>
        <v>45771.953438900462</v>
      </c>
      <c r="D2" s="14" t="str">
        <f>CONCATENATE(VLOOKUP(A2,tblTransaction!A:N,4,FALSE),", ",VLOOKUP(A2,tblTransaction!A:N,5,FALSE))</f>
        <v>PAMUGAS, MARK ALFRED</v>
      </c>
      <c r="E2" s="27" t="str">
        <f>VLOOKUP(A2,tblTransaction!A:N,6,FALSE)</f>
        <v>7/3/1997 10:52:26 PM</v>
      </c>
      <c r="F2" s="10">
        <f ca="1">DATEDIF(E2, TODAY(), "Y")</f>
        <v>27</v>
      </c>
      <c r="G2" s="14" t="s">
        <v>67</v>
      </c>
      <c r="H2" s="14" t="s">
        <v>68</v>
      </c>
    </row>
    <row r="3" spans="1:9" x14ac:dyDescent="0.25">
      <c r="A3" s="14">
        <v>2</v>
      </c>
      <c r="B3" s="14" t="s">
        <v>82</v>
      </c>
      <c r="C3" s="27">
        <v>45713</v>
      </c>
      <c r="D3" s="14" t="s">
        <v>79</v>
      </c>
      <c r="E3" s="27">
        <v>34455</v>
      </c>
      <c r="F3" s="10">
        <f t="shared" ref="F3:F66" ca="1" si="0">DATEDIF(E3, TODAY(), "Y")</f>
        <v>31</v>
      </c>
      <c r="G3" s="14" t="s">
        <v>193</v>
      </c>
      <c r="H3" s="14" t="s">
        <v>68</v>
      </c>
    </row>
    <row r="4" spans="1:9" x14ac:dyDescent="0.25">
      <c r="A4" s="14">
        <v>3</v>
      </c>
      <c r="B4" s="14" t="s">
        <v>83</v>
      </c>
      <c r="C4" s="27">
        <v>45713</v>
      </c>
      <c r="D4" s="14" t="s">
        <v>192</v>
      </c>
      <c r="E4" s="27">
        <v>35614</v>
      </c>
      <c r="F4" s="10">
        <f t="shared" ca="1" si="0"/>
        <v>27</v>
      </c>
      <c r="G4" s="14" t="s">
        <v>76</v>
      </c>
      <c r="H4" s="14" t="s">
        <v>68</v>
      </c>
    </row>
    <row r="5" spans="1:9" x14ac:dyDescent="0.25">
      <c r="A5" s="14">
        <v>4</v>
      </c>
      <c r="B5" s="14" t="s">
        <v>84</v>
      </c>
      <c r="C5" s="27"/>
      <c r="F5" s="10">
        <f t="shared" ca="1" si="0"/>
        <v>125</v>
      </c>
    </row>
    <row r="6" spans="1:9" x14ac:dyDescent="0.25">
      <c r="A6" s="14">
        <v>5</v>
      </c>
      <c r="B6" s="14" t="s">
        <v>85</v>
      </c>
      <c r="C6" s="27"/>
      <c r="F6" s="10">
        <f t="shared" ca="1" si="0"/>
        <v>125</v>
      </c>
    </row>
    <row r="7" spans="1:9" x14ac:dyDescent="0.25">
      <c r="A7" s="14">
        <v>6</v>
      </c>
      <c r="B7" s="14" t="s">
        <v>86</v>
      </c>
      <c r="C7" s="27"/>
      <c r="F7" s="10">
        <f t="shared" ca="1" si="0"/>
        <v>125</v>
      </c>
    </row>
    <row r="8" spans="1:9" x14ac:dyDescent="0.25">
      <c r="A8" s="14">
        <v>7</v>
      </c>
      <c r="B8" s="14" t="s">
        <v>87</v>
      </c>
      <c r="C8" s="27"/>
      <c r="F8" s="10">
        <f t="shared" ca="1" si="0"/>
        <v>125</v>
      </c>
    </row>
    <row r="9" spans="1:9" x14ac:dyDescent="0.25">
      <c r="A9" s="14">
        <v>8</v>
      </c>
      <c r="B9" s="14" t="s">
        <v>88</v>
      </c>
      <c r="C9" s="27"/>
      <c r="F9" s="10">
        <f t="shared" ca="1" si="0"/>
        <v>125</v>
      </c>
    </row>
    <row r="10" spans="1:9" x14ac:dyDescent="0.25">
      <c r="A10" s="14">
        <v>9</v>
      </c>
      <c r="B10" s="14" t="s">
        <v>89</v>
      </c>
      <c r="C10" s="27"/>
      <c r="F10" s="10">
        <f t="shared" ca="1" si="0"/>
        <v>125</v>
      </c>
    </row>
    <row r="11" spans="1:9" x14ac:dyDescent="0.25">
      <c r="A11" s="14">
        <v>10</v>
      </c>
      <c r="B11" s="14" t="s">
        <v>90</v>
      </c>
      <c r="C11" s="27"/>
      <c r="F11" s="10">
        <f t="shared" ca="1" si="0"/>
        <v>125</v>
      </c>
    </row>
    <row r="12" spans="1:9" x14ac:dyDescent="0.25">
      <c r="A12" s="14">
        <v>11</v>
      </c>
      <c r="B12" s="14" t="s">
        <v>91</v>
      </c>
      <c r="C12" s="27"/>
      <c r="F12" s="10">
        <f t="shared" ca="1" si="0"/>
        <v>125</v>
      </c>
    </row>
    <row r="13" spans="1:9" x14ac:dyDescent="0.25">
      <c r="A13" s="14">
        <v>12</v>
      </c>
      <c r="B13" s="14" t="s">
        <v>92</v>
      </c>
      <c r="C13" s="27"/>
      <c r="F13" s="10">
        <f t="shared" ca="1" si="0"/>
        <v>125</v>
      </c>
    </row>
    <row r="14" spans="1:9" x14ac:dyDescent="0.25">
      <c r="A14" s="14">
        <v>13</v>
      </c>
      <c r="B14" s="14" t="s">
        <v>93</v>
      </c>
      <c r="C14" s="27"/>
      <c r="F14" s="10">
        <f t="shared" ca="1" si="0"/>
        <v>125</v>
      </c>
    </row>
    <row r="15" spans="1:9" x14ac:dyDescent="0.25">
      <c r="A15" s="14">
        <v>14</v>
      </c>
      <c r="B15" s="14" t="s">
        <v>94</v>
      </c>
      <c r="C15" s="27"/>
      <c r="F15" s="10">
        <f t="shared" ca="1" si="0"/>
        <v>125</v>
      </c>
    </row>
    <row r="16" spans="1:9" x14ac:dyDescent="0.25">
      <c r="A16" s="14">
        <v>15</v>
      </c>
      <c r="B16" s="14" t="s">
        <v>95</v>
      </c>
      <c r="C16" s="27"/>
      <c r="F16" s="10">
        <f t="shared" ca="1" si="0"/>
        <v>125</v>
      </c>
    </row>
    <row r="17" spans="1:6" x14ac:dyDescent="0.25">
      <c r="A17" s="14">
        <v>16</v>
      </c>
      <c r="B17" s="14" t="s">
        <v>96</v>
      </c>
      <c r="C17" s="27"/>
      <c r="F17" s="10">
        <f t="shared" ca="1" si="0"/>
        <v>125</v>
      </c>
    </row>
    <row r="18" spans="1:6" x14ac:dyDescent="0.25">
      <c r="A18" s="14">
        <v>17</v>
      </c>
      <c r="B18" s="14" t="s">
        <v>97</v>
      </c>
      <c r="C18" s="27"/>
      <c r="F18" s="10">
        <f t="shared" ca="1" si="0"/>
        <v>125</v>
      </c>
    </row>
    <row r="19" spans="1:6" x14ac:dyDescent="0.25">
      <c r="A19" s="14">
        <v>18</v>
      </c>
      <c r="B19" s="14" t="s">
        <v>98</v>
      </c>
      <c r="C19" s="27"/>
      <c r="F19" s="10">
        <f t="shared" ca="1" si="0"/>
        <v>125</v>
      </c>
    </row>
    <row r="20" spans="1:6" x14ac:dyDescent="0.25">
      <c r="A20" s="14">
        <v>19</v>
      </c>
      <c r="B20" s="14" t="s">
        <v>99</v>
      </c>
      <c r="C20" s="27"/>
      <c r="F20" s="10">
        <f t="shared" ca="1" si="0"/>
        <v>125</v>
      </c>
    </row>
    <row r="21" spans="1:6" x14ac:dyDescent="0.25">
      <c r="A21" s="14">
        <v>20</v>
      </c>
      <c r="B21" s="14" t="s">
        <v>100</v>
      </c>
      <c r="C21" s="27"/>
      <c r="F21" s="10">
        <f t="shared" ca="1" si="0"/>
        <v>125</v>
      </c>
    </row>
    <row r="22" spans="1:6" x14ac:dyDescent="0.25">
      <c r="A22" s="14">
        <v>21</v>
      </c>
      <c r="B22" s="14" t="s">
        <v>101</v>
      </c>
      <c r="C22" s="27"/>
      <c r="F22" s="10">
        <f t="shared" ca="1" si="0"/>
        <v>125</v>
      </c>
    </row>
    <row r="23" spans="1:6" x14ac:dyDescent="0.25">
      <c r="A23" s="14">
        <v>22</v>
      </c>
      <c r="B23" s="14" t="s">
        <v>102</v>
      </c>
      <c r="C23" s="27"/>
      <c r="F23" s="10">
        <f t="shared" ca="1" si="0"/>
        <v>125</v>
      </c>
    </row>
    <row r="24" spans="1:6" x14ac:dyDescent="0.25">
      <c r="A24" s="14">
        <v>23</v>
      </c>
      <c r="B24" s="14" t="s">
        <v>103</v>
      </c>
      <c r="C24" s="27"/>
      <c r="F24" s="10">
        <f t="shared" ca="1" si="0"/>
        <v>125</v>
      </c>
    </row>
    <row r="25" spans="1:6" x14ac:dyDescent="0.25">
      <c r="A25" s="14">
        <v>24</v>
      </c>
      <c r="B25" s="14" t="s">
        <v>104</v>
      </c>
      <c r="C25" s="27"/>
      <c r="F25" s="10">
        <f t="shared" ca="1" si="0"/>
        <v>125</v>
      </c>
    </row>
    <row r="26" spans="1:6" x14ac:dyDescent="0.25">
      <c r="A26" s="14">
        <v>25</v>
      </c>
      <c r="B26" s="14" t="s">
        <v>105</v>
      </c>
      <c r="C26" s="27"/>
      <c r="F26" s="10">
        <f t="shared" ca="1" si="0"/>
        <v>125</v>
      </c>
    </row>
    <row r="27" spans="1:6" x14ac:dyDescent="0.25">
      <c r="A27" s="14">
        <v>26</v>
      </c>
      <c r="B27" s="14" t="s">
        <v>106</v>
      </c>
      <c r="C27" s="27"/>
      <c r="F27" s="10">
        <f t="shared" ca="1" si="0"/>
        <v>125</v>
      </c>
    </row>
    <row r="28" spans="1:6" x14ac:dyDescent="0.25">
      <c r="A28" s="14">
        <v>27</v>
      </c>
      <c r="B28" s="14" t="s">
        <v>107</v>
      </c>
      <c r="C28" s="27"/>
      <c r="F28" s="10">
        <f t="shared" ca="1" si="0"/>
        <v>125</v>
      </c>
    </row>
    <row r="29" spans="1:6" x14ac:dyDescent="0.25">
      <c r="A29" s="14">
        <v>28</v>
      </c>
      <c r="B29" s="14" t="s">
        <v>108</v>
      </c>
      <c r="C29" s="27"/>
      <c r="F29" s="10">
        <f t="shared" ca="1" si="0"/>
        <v>125</v>
      </c>
    </row>
    <row r="30" spans="1:6" x14ac:dyDescent="0.25">
      <c r="A30" s="14">
        <v>29</v>
      </c>
      <c r="B30" s="14" t="s">
        <v>109</v>
      </c>
      <c r="C30" s="27"/>
      <c r="F30" s="10">
        <f t="shared" ca="1" si="0"/>
        <v>125</v>
      </c>
    </row>
    <row r="31" spans="1:6" x14ac:dyDescent="0.25">
      <c r="A31" s="14">
        <v>30</v>
      </c>
      <c r="B31" s="14" t="s">
        <v>110</v>
      </c>
      <c r="C31" s="27"/>
      <c r="F31" s="10">
        <f t="shared" ca="1" si="0"/>
        <v>125</v>
      </c>
    </row>
    <row r="32" spans="1:6" x14ac:dyDescent="0.25">
      <c r="A32" s="14">
        <v>31</v>
      </c>
      <c r="B32" s="14" t="s">
        <v>111</v>
      </c>
      <c r="C32" s="27"/>
      <c r="F32" s="10">
        <f t="shared" ca="1" si="0"/>
        <v>125</v>
      </c>
    </row>
    <row r="33" spans="1:6" x14ac:dyDescent="0.25">
      <c r="A33" s="14">
        <v>32</v>
      </c>
      <c r="B33" s="14" t="s">
        <v>112</v>
      </c>
      <c r="C33" s="27"/>
      <c r="F33" s="10">
        <f t="shared" ca="1" si="0"/>
        <v>125</v>
      </c>
    </row>
    <row r="34" spans="1:6" x14ac:dyDescent="0.25">
      <c r="A34" s="14">
        <v>33</v>
      </c>
      <c r="B34" s="14" t="s">
        <v>113</v>
      </c>
      <c r="C34" s="27"/>
      <c r="F34" s="10">
        <f t="shared" ca="1" si="0"/>
        <v>125</v>
      </c>
    </row>
    <row r="35" spans="1:6" x14ac:dyDescent="0.25">
      <c r="A35" s="14">
        <v>34</v>
      </c>
      <c r="B35" s="14" t="s">
        <v>114</v>
      </c>
      <c r="C35" s="27"/>
      <c r="F35" s="10">
        <f t="shared" ca="1" si="0"/>
        <v>125</v>
      </c>
    </row>
    <row r="36" spans="1:6" x14ac:dyDescent="0.25">
      <c r="A36" s="14">
        <v>35</v>
      </c>
      <c r="B36" s="14" t="s">
        <v>115</v>
      </c>
      <c r="C36" s="27"/>
      <c r="F36" s="10">
        <f t="shared" ca="1" si="0"/>
        <v>125</v>
      </c>
    </row>
    <row r="37" spans="1:6" x14ac:dyDescent="0.25">
      <c r="A37" s="14">
        <v>36</v>
      </c>
      <c r="B37" s="14" t="s">
        <v>116</v>
      </c>
      <c r="C37" s="27"/>
      <c r="F37" s="10">
        <f t="shared" ca="1" si="0"/>
        <v>125</v>
      </c>
    </row>
    <row r="38" spans="1:6" x14ac:dyDescent="0.25">
      <c r="A38" s="14">
        <v>37</v>
      </c>
      <c r="B38" s="14" t="s">
        <v>117</v>
      </c>
      <c r="C38" s="27"/>
      <c r="F38" s="10">
        <f t="shared" ca="1" si="0"/>
        <v>125</v>
      </c>
    </row>
    <row r="39" spans="1:6" x14ac:dyDescent="0.25">
      <c r="A39" s="14">
        <v>38</v>
      </c>
      <c r="B39" s="14" t="s">
        <v>118</v>
      </c>
      <c r="C39" s="27"/>
      <c r="F39" s="10">
        <f t="shared" ca="1" si="0"/>
        <v>125</v>
      </c>
    </row>
    <row r="40" spans="1:6" x14ac:dyDescent="0.25">
      <c r="A40" s="14">
        <v>39</v>
      </c>
      <c r="B40" s="14" t="s">
        <v>119</v>
      </c>
      <c r="C40" s="27"/>
      <c r="F40" s="10">
        <f t="shared" ca="1" si="0"/>
        <v>125</v>
      </c>
    </row>
    <row r="41" spans="1:6" x14ac:dyDescent="0.25">
      <c r="A41" s="14">
        <v>40</v>
      </c>
      <c r="B41" s="14" t="s">
        <v>120</v>
      </c>
      <c r="C41" s="27"/>
      <c r="F41" s="10">
        <f t="shared" ca="1" si="0"/>
        <v>125</v>
      </c>
    </row>
    <row r="42" spans="1:6" x14ac:dyDescent="0.25">
      <c r="A42" s="14">
        <v>41</v>
      </c>
      <c r="B42" s="14" t="s">
        <v>121</v>
      </c>
      <c r="C42" s="27"/>
      <c r="F42" s="10">
        <f t="shared" ca="1" si="0"/>
        <v>125</v>
      </c>
    </row>
    <row r="43" spans="1:6" x14ac:dyDescent="0.25">
      <c r="A43" s="14">
        <v>42</v>
      </c>
      <c r="B43" s="14" t="s">
        <v>122</v>
      </c>
      <c r="C43" s="27"/>
      <c r="F43" s="10">
        <f t="shared" ca="1" si="0"/>
        <v>125</v>
      </c>
    </row>
    <row r="44" spans="1:6" x14ac:dyDescent="0.25">
      <c r="A44" s="14">
        <v>43</v>
      </c>
      <c r="B44" s="14" t="s">
        <v>123</v>
      </c>
      <c r="C44" s="27"/>
      <c r="F44" s="10">
        <f t="shared" ca="1" si="0"/>
        <v>125</v>
      </c>
    </row>
    <row r="45" spans="1:6" x14ac:dyDescent="0.25">
      <c r="A45" s="14">
        <v>44</v>
      </c>
      <c r="B45" s="14" t="s">
        <v>124</v>
      </c>
      <c r="C45" s="27"/>
      <c r="F45" s="10">
        <f t="shared" ca="1" si="0"/>
        <v>125</v>
      </c>
    </row>
    <row r="46" spans="1:6" x14ac:dyDescent="0.25">
      <c r="A46" s="14">
        <v>45</v>
      </c>
      <c r="B46" s="14" t="s">
        <v>125</v>
      </c>
      <c r="C46" s="27"/>
      <c r="F46" s="10">
        <f t="shared" ca="1" si="0"/>
        <v>125</v>
      </c>
    </row>
    <row r="47" spans="1:6" x14ac:dyDescent="0.25">
      <c r="A47" s="14">
        <v>46</v>
      </c>
      <c r="B47" s="14" t="s">
        <v>126</v>
      </c>
      <c r="C47" s="27"/>
      <c r="F47" s="10">
        <f t="shared" ca="1" si="0"/>
        <v>125</v>
      </c>
    </row>
    <row r="48" spans="1:6" x14ac:dyDescent="0.25">
      <c r="A48" s="14">
        <v>47</v>
      </c>
      <c r="B48" s="14" t="s">
        <v>127</v>
      </c>
      <c r="C48" s="27"/>
      <c r="F48" s="10">
        <f t="shared" ca="1" si="0"/>
        <v>125</v>
      </c>
    </row>
    <row r="49" spans="1:6" x14ac:dyDescent="0.25">
      <c r="A49" s="14">
        <v>48</v>
      </c>
      <c r="B49" s="14" t="s">
        <v>128</v>
      </c>
      <c r="C49" s="27"/>
      <c r="F49" s="10">
        <f t="shared" ca="1" si="0"/>
        <v>125</v>
      </c>
    </row>
    <row r="50" spans="1:6" x14ac:dyDescent="0.25">
      <c r="A50" s="14">
        <v>49</v>
      </c>
      <c r="B50" s="14" t="s">
        <v>129</v>
      </c>
      <c r="C50" s="27"/>
      <c r="F50" s="10">
        <f t="shared" ca="1" si="0"/>
        <v>125</v>
      </c>
    </row>
    <row r="51" spans="1:6" x14ac:dyDescent="0.25">
      <c r="A51" s="14">
        <v>50</v>
      </c>
      <c r="B51" s="14" t="s">
        <v>130</v>
      </c>
      <c r="C51" s="27"/>
      <c r="F51" s="10">
        <f t="shared" ca="1" si="0"/>
        <v>125</v>
      </c>
    </row>
    <row r="52" spans="1:6" x14ac:dyDescent="0.25">
      <c r="A52" s="14">
        <v>51</v>
      </c>
      <c r="B52" s="14" t="s">
        <v>131</v>
      </c>
      <c r="C52" s="27"/>
      <c r="F52" s="10">
        <f t="shared" ca="1" si="0"/>
        <v>125</v>
      </c>
    </row>
    <row r="53" spans="1:6" x14ac:dyDescent="0.25">
      <c r="A53" s="14">
        <v>52</v>
      </c>
      <c r="B53" s="14" t="s">
        <v>132</v>
      </c>
      <c r="C53" s="27"/>
      <c r="F53" s="10">
        <f t="shared" ca="1" si="0"/>
        <v>125</v>
      </c>
    </row>
    <row r="54" spans="1:6" x14ac:dyDescent="0.25">
      <c r="A54" s="14">
        <v>53</v>
      </c>
      <c r="B54" s="14" t="s">
        <v>133</v>
      </c>
      <c r="C54" s="27"/>
      <c r="F54" s="10">
        <f t="shared" ca="1" si="0"/>
        <v>125</v>
      </c>
    </row>
    <row r="55" spans="1:6" x14ac:dyDescent="0.25">
      <c r="A55" s="14">
        <v>54</v>
      </c>
      <c r="B55" s="14" t="s">
        <v>134</v>
      </c>
      <c r="C55" s="27"/>
      <c r="F55" s="10">
        <f t="shared" ca="1" si="0"/>
        <v>125</v>
      </c>
    </row>
    <row r="56" spans="1:6" x14ac:dyDescent="0.25">
      <c r="A56" s="14">
        <v>55</v>
      </c>
      <c r="B56" s="14" t="s">
        <v>135</v>
      </c>
      <c r="C56" s="27"/>
      <c r="F56" s="10">
        <f t="shared" ca="1" si="0"/>
        <v>125</v>
      </c>
    </row>
    <row r="57" spans="1:6" x14ac:dyDescent="0.25">
      <c r="A57" s="14">
        <v>56</v>
      </c>
      <c r="B57" s="14" t="s">
        <v>136</v>
      </c>
      <c r="C57" s="27"/>
      <c r="F57" s="10">
        <f t="shared" ca="1" si="0"/>
        <v>125</v>
      </c>
    </row>
    <row r="58" spans="1:6" x14ac:dyDescent="0.25">
      <c r="A58" s="14">
        <v>57</v>
      </c>
      <c r="B58" s="14" t="s">
        <v>137</v>
      </c>
      <c r="C58" s="27"/>
      <c r="F58" s="10">
        <f t="shared" ca="1" si="0"/>
        <v>125</v>
      </c>
    </row>
    <row r="59" spans="1:6" x14ac:dyDescent="0.25">
      <c r="A59" s="14">
        <v>58</v>
      </c>
      <c r="B59" s="14" t="s">
        <v>138</v>
      </c>
      <c r="C59" s="27"/>
      <c r="F59" s="10">
        <f t="shared" ca="1" si="0"/>
        <v>125</v>
      </c>
    </row>
    <row r="60" spans="1:6" x14ac:dyDescent="0.25">
      <c r="A60" s="14">
        <v>59</v>
      </c>
      <c r="B60" s="14" t="s">
        <v>139</v>
      </c>
      <c r="C60" s="27"/>
      <c r="F60" s="10">
        <f t="shared" ca="1" si="0"/>
        <v>125</v>
      </c>
    </row>
    <row r="61" spans="1:6" x14ac:dyDescent="0.25">
      <c r="A61" s="14">
        <v>60</v>
      </c>
      <c r="B61" s="14" t="s">
        <v>140</v>
      </c>
      <c r="C61" s="27"/>
      <c r="F61" s="10">
        <f t="shared" ca="1" si="0"/>
        <v>125</v>
      </c>
    </row>
    <row r="62" spans="1:6" x14ac:dyDescent="0.25">
      <c r="A62" s="14">
        <v>61</v>
      </c>
      <c r="B62" s="14" t="s">
        <v>141</v>
      </c>
      <c r="C62" s="27"/>
      <c r="F62" s="10">
        <f t="shared" ca="1" si="0"/>
        <v>125</v>
      </c>
    </row>
    <row r="63" spans="1:6" x14ac:dyDescent="0.25">
      <c r="A63" s="14">
        <v>62</v>
      </c>
      <c r="B63" s="14" t="s">
        <v>142</v>
      </c>
      <c r="C63" s="27"/>
      <c r="F63" s="10">
        <f t="shared" ca="1" si="0"/>
        <v>125</v>
      </c>
    </row>
    <row r="64" spans="1:6" x14ac:dyDescent="0.25">
      <c r="A64" s="14">
        <v>63</v>
      </c>
      <c r="B64" s="14" t="s">
        <v>143</v>
      </c>
      <c r="C64" s="27"/>
      <c r="F64" s="10">
        <f t="shared" ca="1" si="0"/>
        <v>125</v>
      </c>
    </row>
    <row r="65" spans="1:6" x14ac:dyDescent="0.25">
      <c r="A65" s="14">
        <v>64</v>
      </c>
      <c r="B65" s="14" t="s">
        <v>144</v>
      </c>
      <c r="C65" s="27"/>
      <c r="F65" s="10">
        <f t="shared" ca="1" si="0"/>
        <v>125</v>
      </c>
    </row>
    <row r="66" spans="1:6" x14ac:dyDescent="0.25">
      <c r="A66" s="14">
        <v>65</v>
      </c>
      <c r="B66" s="14" t="s">
        <v>145</v>
      </c>
      <c r="C66" s="27"/>
      <c r="F66" s="10">
        <f t="shared" ca="1" si="0"/>
        <v>125</v>
      </c>
    </row>
    <row r="67" spans="1:6" x14ac:dyDescent="0.25">
      <c r="A67" s="14">
        <v>66</v>
      </c>
      <c r="B67" s="14" t="s">
        <v>146</v>
      </c>
      <c r="C67" s="27"/>
      <c r="F67" s="10">
        <f t="shared" ref="F67:F111" ca="1" si="1">DATEDIF(E67, TODAY(), "Y")</f>
        <v>125</v>
      </c>
    </row>
    <row r="68" spans="1:6" x14ac:dyDescent="0.25">
      <c r="A68" s="14">
        <v>67</v>
      </c>
      <c r="B68" s="14" t="s">
        <v>147</v>
      </c>
      <c r="C68" s="27"/>
      <c r="F68" s="10">
        <f t="shared" ca="1" si="1"/>
        <v>125</v>
      </c>
    </row>
    <row r="69" spans="1:6" x14ac:dyDescent="0.25">
      <c r="A69" s="14">
        <v>68</v>
      </c>
      <c r="B69" s="14" t="s">
        <v>148</v>
      </c>
      <c r="C69" s="27"/>
      <c r="F69" s="10">
        <f t="shared" ca="1" si="1"/>
        <v>125</v>
      </c>
    </row>
    <row r="70" spans="1:6" x14ac:dyDescent="0.25">
      <c r="A70" s="14">
        <v>69</v>
      </c>
      <c r="B70" s="14" t="s">
        <v>149</v>
      </c>
      <c r="C70" s="27"/>
      <c r="F70" s="10">
        <f t="shared" ca="1" si="1"/>
        <v>125</v>
      </c>
    </row>
    <row r="71" spans="1:6" x14ac:dyDescent="0.25">
      <c r="A71" s="14">
        <v>70</v>
      </c>
      <c r="B71" s="14" t="s">
        <v>150</v>
      </c>
      <c r="C71" s="27"/>
      <c r="F71" s="10">
        <f t="shared" ca="1" si="1"/>
        <v>125</v>
      </c>
    </row>
    <row r="72" spans="1:6" x14ac:dyDescent="0.25">
      <c r="A72" s="14">
        <v>71</v>
      </c>
      <c r="B72" s="14" t="s">
        <v>151</v>
      </c>
      <c r="C72" s="27"/>
      <c r="F72" s="10">
        <f t="shared" ca="1" si="1"/>
        <v>125</v>
      </c>
    </row>
    <row r="73" spans="1:6" x14ac:dyDescent="0.25">
      <c r="A73" s="14">
        <v>72</v>
      </c>
      <c r="B73" s="14" t="s">
        <v>152</v>
      </c>
      <c r="C73" s="27"/>
      <c r="F73" s="10">
        <f t="shared" ca="1" si="1"/>
        <v>125</v>
      </c>
    </row>
    <row r="74" spans="1:6" x14ac:dyDescent="0.25">
      <c r="A74" s="14">
        <v>73</v>
      </c>
      <c r="B74" s="14" t="s">
        <v>153</v>
      </c>
      <c r="C74" s="27"/>
      <c r="F74" s="10">
        <f t="shared" ca="1" si="1"/>
        <v>125</v>
      </c>
    </row>
    <row r="75" spans="1:6" x14ac:dyDescent="0.25">
      <c r="A75" s="14">
        <v>74</v>
      </c>
      <c r="B75" s="14" t="s">
        <v>154</v>
      </c>
      <c r="C75" s="27"/>
      <c r="F75" s="10">
        <f t="shared" ca="1" si="1"/>
        <v>125</v>
      </c>
    </row>
    <row r="76" spans="1:6" x14ac:dyDescent="0.25">
      <c r="A76" s="14">
        <v>75</v>
      </c>
      <c r="B76" s="14" t="s">
        <v>155</v>
      </c>
      <c r="C76" s="27"/>
      <c r="F76" s="10">
        <f t="shared" ca="1" si="1"/>
        <v>125</v>
      </c>
    </row>
    <row r="77" spans="1:6" x14ac:dyDescent="0.25">
      <c r="A77" s="14">
        <v>76</v>
      </c>
      <c r="B77" s="14" t="s">
        <v>156</v>
      </c>
      <c r="C77" s="27"/>
      <c r="F77" s="10">
        <f t="shared" ca="1" si="1"/>
        <v>125</v>
      </c>
    </row>
    <row r="78" spans="1:6" x14ac:dyDescent="0.25">
      <c r="A78" s="14">
        <v>77</v>
      </c>
      <c r="B78" s="14" t="s">
        <v>157</v>
      </c>
      <c r="C78" s="27"/>
      <c r="F78" s="10">
        <f t="shared" ca="1" si="1"/>
        <v>125</v>
      </c>
    </row>
    <row r="79" spans="1:6" x14ac:dyDescent="0.25">
      <c r="A79" s="14">
        <v>78</v>
      </c>
      <c r="B79" s="14" t="s">
        <v>158</v>
      </c>
      <c r="C79" s="27"/>
      <c r="F79" s="10">
        <f t="shared" ca="1" si="1"/>
        <v>125</v>
      </c>
    </row>
    <row r="80" spans="1:6" x14ac:dyDescent="0.25">
      <c r="A80" s="14">
        <v>79</v>
      </c>
      <c r="B80" s="14" t="s">
        <v>159</v>
      </c>
      <c r="C80" s="27"/>
      <c r="F80" s="10">
        <f t="shared" ca="1" si="1"/>
        <v>125</v>
      </c>
    </row>
    <row r="81" spans="1:6" x14ac:dyDescent="0.25">
      <c r="A81" s="14">
        <v>80</v>
      </c>
      <c r="B81" s="14" t="s">
        <v>160</v>
      </c>
      <c r="C81" s="27"/>
      <c r="F81" s="10">
        <f t="shared" ca="1" si="1"/>
        <v>125</v>
      </c>
    </row>
    <row r="82" spans="1:6" x14ac:dyDescent="0.25">
      <c r="A82" s="14">
        <v>81</v>
      </c>
      <c r="B82" s="14" t="s">
        <v>161</v>
      </c>
      <c r="C82" s="27"/>
      <c r="F82" s="10">
        <f t="shared" ca="1" si="1"/>
        <v>125</v>
      </c>
    </row>
    <row r="83" spans="1:6" x14ac:dyDescent="0.25">
      <c r="A83" s="14">
        <v>82</v>
      </c>
      <c r="B83" s="14" t="s">
        <v>162</v>
      </c>
      <c r="C83" s="27"/>
      <c r="F83" s="10">
        <f t="shared" ca="1" si="1"/>
        <v>125</v>
      </c>
    </row>
    <row r="84" spans="1:6" x14ac:dyDescent="0.25">
      <c r="A84" s="14">
        <v>83</v>
      </c>
      <c r="B84" s="14" t="s">
        <v>163</v>
      </c>
      <c r="C84" s="27"/>
      <c r="F84" s="10">
        <f t="shared" ca="1" si="1"/>
        <v>125</v>
      </c>
    </row>
    <row r="85" spans="1:6" x14ac:dyDescent="0.25">
      <c r="A85" s="14">
        <v>84</v>
      </c>
      <c r="B85" s="14" t="s">
        <v>164</v>
      </c>
      <c r="C85" s="27"/>
      <c r="F85" s="10">
        <f t="shared" ca="1" si="1"/>
        <v>125</v>
      </c>
    </row>
    <row r="86" spans="1:6" x14ac:dyDescent="0.25">
      <c r="A86" s="14">
        <v>85</v>
      </c>
      <c r="B86" s="14" t="s">
        <v>165</v>
      </c>
      <c r="C86" s="27"/>
      <c r="F86" s="10">
        <f t="shared" ca="1" si="1"/>
        <v>125</v>
      </c>
    </row>
    <row r="87" spans="1:6" x14ac:dyDescent="0.25">
      <c r="A87" s="14">
        <v>86</v>
      </c>
      <c r="B87" s="14" t="s">
        <v>166</v>
      </c>
      <c r="C87" s="27"/>
      <c r="F87" s="10">
        <f t="shared" ca="1" si="1"/>
        <v>125</v>
      </c>
    </row>
    <row r="88" spans="1:6" x14ac:dyDescent="0.25">
      <c r="A88" s="14">
        <v>87</v>
      </c>
      <c r="B88" s="14" t="s">
        <v>167</v>
      </c>
      <c r="C88" s="27"/>
      <c r="F88" s="10">
        <f t="shared" ca="1" si="1"/>
        <v>125</v>
      </c>
    </row>
    <row r="89" spans="1:6" x14ac:dyDescent="0.25">
      <c r="A89" s="14">
        <v>88</v>
      </c>
      <c r="B89" s="14" t="s">
        <v>168</v>
      </c>
      <c r="C89" s="27"/>
      <c r="F89" s="10">
        <f t="shared" ca="1" si="1"/>
        <v>125</v>
      </c>
    </row>
    <row r="90" spans="1:6" x14ac:dyDescent="0.25">
      <c r="A90" s="14">
        <v>89</v>
      </c>
      <c r="B90" s="14" t="s">
        <v>169</v>
      </c>
      <c r="C90" s="27"/>
      <c r="F90" s="10">
        <f t="shared" ca="1" si="1"/>
        <v>125</v>
      </c>
    </row>
    <row r="91" spans="1:6" x14ac:dyDescent="0.25">
      <c r="A91" s="14">
        <v>90</v>
      </c>
      <c r="B91" s="14" t="s">
        <v>170</v>
      </c>
      <c r="C91" s="27"/>
      <c r="F91" s="10">
        <f t="shared" ca="1" si="1"/>
        <v>125</v>
      </c>
    </row>
    <row r="92" spans="1:6" x14ac:dyDescent="0.25">
      <c r="A92" s="14">
        <v>91</v>
      </c>
      <c r="B92" s="14" t="s">
        <v>171</v>
      </c>
      <c r="C92" s="27"/>
      <c r="F92" s="10">
        <f t="shared" ca="1" si="1"/>
        <v>125</v>
      </c>
    </row>
    <row r="93" spans="1:6" x14ac:dyDescent="0.25">
      <c r="A93" s="14">
        <v>92</v>
      </c>
      <c r="B93" s="14" t="s">
        <v>172</v>
      </c>
      <c r="C93" s="27"/>
      <c r="F93" s="10">
        <f t="shared" ca="1" si="1"/>
        <v>125</v>
      </c>
    </row>
    <row r="94" spans="1:6" x14ac:dyDescent="0.25">
      <c r="A94" s="14">
        <v>93</v>
      </c>
      <c r="B94" s="14" t="s">
        <v>173</v>
      </c>
      <c r="C94" s="27"/>
      <c r="F94" s="10">
        <f t="shared" ca="1" si="1"/>
        <v>125</v>
      </c>
    </row>
    <row r="95" spans="1:6" x14ac:dyDescent="0.25">
      <c r="A95" s="14">
        <v>94</v>
      </c>
      <c r="B95" s="14" t="s">
        <v>174</v>
      </c>
      <c r="C95" s="27"/>
      <c r="F95" s="10">
        <f t="shared" ca="1" si="1"/>
        <v>125</v>
      </c>
    </row>
    <row r="96" spans="1:6" x14ac:dyDescent="0.25">
      <c r="A96" s="14">
        <v>95</v>
      </c>
      <c r="B96" s="14" t="s">
        <v>175</v>
      </c>
      <c r="C96" s="27"/>
      <c r="F96" s="10">
        <f t="shared" ca="1" si="1"/>
        <v>125</v>
      </c>
    </row>
    <row r="97" spans="1:6" x14ac:dyDescent="0.25">
      <c r="A97" s="14">
        <v>96</v>
      </c>
      <c r="B97" s="14" t="s">
        <v>176</v>
      </c>
      <c r="C97" s="27"/>
      <c r="F97" s="10">
        <f t="shared" ca="1" si="1"/>
        <v>125</v>
      </c>
    </row>
    <row r="98" spans="1:6" x14ac:dyDescent="0.25">
      <c r="A98" s="14">
        <v>97</v>
      </c>
      <c r="B98" s="14" t="s">
        <v>177</v>
      </c>
      <c r="C98" s="27"/>
      <c r="F98" s="10">
        <f t="shared" ca="1" si="1"/>
        <v>125</v>
      </c>
    </row>
    <row r="99" spans="1:6" x14ac:dyDescent="0.25">
      <c r="A99" s="14">
        <v>98</v>
      </c>
      <c r="B99" s="14" t="s">
        <v>178</v>
      </c>
      <c r="C99" s="27"/>
      <c r="F99" s="10">
        <f t="shared" ca="1" si="1"/>
        <v>125</v>
      </c>
    </row>
    <row r="100" spans="1:6" x14ac:dyDescent="0.25">
      <c r="A100" s="14">
        <v>99</v>
      </c>
      <c r="B100" s="14" t="s">
        <v>179</v>
      </c>
      <c r="C100" s="27"/>
      <c r="F100" s="10">
        <f t="shared" ca="1" si="1"/>
        <v>125</v>
      </c>
    </row>
    <row r="101" spans="1:6" x14ac:dyDescent="0.25">
      <c r="A101" s="14">
        <v>100</v>
      </c>
      <c r="B101" s="14" t="s">
        <v>180</v>
      </c>
      <c r="C101" s="27"/>
      <c r="F101" s="10">
        <f t="shared" ca="1" si="1"/>
        <v>125</v>
      </c>
    </row>
    <row r="102" spans="1:6" x14ac:dyDescent="0.25">
      <c r="A102" s="14">
        <v>101</v>
      </c>
      <c r="B102" s="14" t="s">
        <v>181</v>
      </c>
      <c r="C102" s="27"/>
      <c r="F102" s="10">
        <f t="shared" ca="1" si="1"/>
        <v>125</v>
      </c>
    </row>
    <row r="103" spans="1:6" x14ac:dyDescent="0.25">
      <c r="A103" s="14">
        <v>102</v>
      </c>
      <c r="B103" s="14" t="s">
        <v>182</v>
      </c>
      <c r="C103" s="27"/>
      <c r="F103" s="10">
        <f t="shared" ca="1" si="1"/>
        <v>125</v>
      </c>
    </row>
    <row r="104" spans="1:6" x14ac:dyDescent="0.25">
      <c r="A104" s="14">
        <v>103</v>
      </c>
      <c r="B104" s="14" t="s">
        <v>183</v>
      </c>
      <c r="C104" s="27"/>
      <c r="F104" s="10">
        <f t="shared" ca="1" si="1"/>
        <v>125</v>
      </c>
    </row>
    <row r="105" spans="1:6" x14ac:dyDescent="0.25">
      <c r="A105" s="14">
        <v>104</v>
      </c>
      <c r="B105" s="14" t="s">
        <v>184</v>
      </c>
      <c r="C105" s="27"/>
      <c r="F105" s="10">
        <f t="shared" ca="1" si="1"/>
        <v>125</v>
      </c>
    </row>
    <row r="106" spans="1:6" x14ac:dyDescent="0.25">
      <c r="A106" s="14">
        <v>105</v>
      </c>
      <c r="B106" s="14" t="s">
        <v>185</v>
      </c>
      <c r="C106" s="27"/>
      <c r="F106" s="10">
        <f t="shared" ca="1" si="1"/>
        <v>125</v>
      </c>
    </row>
    <row r="107" spans="1:6" x14ac:dyDescent="0.25">
      <c r="A107" s="14">
        <v>106</v>
      </c>
      <c r="B107" s="14" t="s">
        <v>186</v>
      </c>
      <c r="C107" s="27"/>
      <c r="F107" s="10">
        <f t="shared" ca="1" si="1"/>
        <v>125</v>
      </c>
    </row>
    <row r="108" spans="1:6" x14ac:dyDescent="0.25">
      <c r="A108" s="14">
        <v>107</v>
      </c>
      <c r="B108" s="14" t="s">
        <v>187</v>
      </c>
      <c r="C108" s="27"/>
      <c r="F108" s="10">
        <f t="shared" ca="1" si="1"/>
        <v>125</v>
      </c>
    </row>
    <row r="109" spans="1:6" x14ac:dyDescent="0.25">
      <c r="A109" s="14">
        <v>108</v>
      </c>
      <c r="B109" s="14" t="s">
        <v>188</v>
      </c>
      <c r="C109" s="27"/>
      <c r="F109" s="10">
        <f t="shared" ca="1" si="1"/>
        <v>125</v>
      </c>
    </row>
    <row r="110" spans="1:6" x14ac:dyDescent="0.25">
      <c r="A110" s="14">
        <v>109</v>
      </c>
      <c r="B110" s="14" t="s">
        <v>189</v>
      </c>
      <c r="C110" s="27"/>
      <c r="F110" s="10">
        <f t="shared" ca="1" si="1"/>
        <v>125</v>
      </c>
    </row>
    <row r="111" spans="1:6" x14ac:dyDescent="0.25">
      <c r="A111" s="14">
        <v>110</v>
      </c>
      <c r="B111" s="14" t="s">
        <v>190</v>
      </c>
      <c r="C111" s="27"/>
      <c r="F111" s="10">
        <f t="shared" ca="1" si="1"/>
        <v>125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266A0-3F7D-45E7-901D-554769FF1F66}">
  <dimension ref="A1:G398"/>
  <sheetViews>
    <sheetView workbookViewId="0">
      <selection activeCell="I10" sqref="I10"/>
    </sheetView>
  </sheetViews>
  <sheetFormatPr defaultRowHeight="15" x14ac:dyDescent="0.25"/>
  <cols>
    <col min="2" max="2" width="17.7109375" style="33" bestFit="1" customWidth="1"/>
    <col min="3" max="3" width="15.42578125" bestFit="1" customWidth="1"/>
    <col min="4" max="4" width="20.85546875" bestFit="1" customWidth="1"/>
    <col min="5" max="5" width="21.28515625" bestFit="1" customWidth="1"/>
    <col min="6" max="6" width="19.85546875" style="33" bestFit="1" customWidth="1"/>
    <col min="7" max="7" width="10.85546875" bestFit="1" customWidth="1"/>
    <col min="8" max="8" width="16.42578125" bestFit="1" customWidth="1"/>
    <col min="9" max="9" width="16.5703125" bestFit="1" customWidth="1"/>
    <col min="10" max="10" width="18.7109375" bestFit="1" customWidth="1"/>
    <col min="11" max="11" width="9.85546875" bestFit="1" customWidth="1"/>
    <col min="12" max="12" width="10.85546875" bestFit="1" customWidth="1"/>
    <col min="13" max="13" width="17.42578125" bestFit="1" customWidth="1"/>
    <col min="14" max="14" width="18.42578125" bestFit="1" customWidth="1"/>
  </cols>
  <sheetData>
    <row r="1" spans="1:7" x14ac:dyDescent="0.25">
      <c r="A1" t="s">
        <v>211</v>
      </c>
      <c r="B1" s="33" t="s">
        <v>202</v>
      </c>
      <c r="C1" t="s">
        <v>203</v>
      </c>
      <c r="D1" t="s">
        <v>204</v>
      </c>
      <c r="E1" t="s">
        <v>205</v>
      </c>
      <c r="F1" s="33" t="s">
        <v>206</v>
      </c>
      <c r="G1" t="s">
        <v>207</v>
      </c>
    </row>
    <row r="2" spans="1:7" x14ac:dyDescent="0.25">
      <c r="A2">
        <v>1</v>
      </c>
      <c r="B2" s="33">
        <v>45771.953438900462</v>
      </c>
      <c r="C2" t="s">
        <v>81</v>
      </c>
      <c r="D2" t="s">
        <v>208</v>
      </c>
      <c r="E2" t="s">
        <v>209</v>
      </c>
      <c r="F2" s="33" t="s">
        <v>210</v>
      </c>
    </row>
    <row r="3" spans="1:7" x14ac:dyDescent="0.25">
      <c r="A3">
        <v>2</v>
      </c>
    </row>
    <row r="4" spans="1:7" x14ac:dyDescent="0.25">
      <c r="A4">
        <v>3</v>
      </c>
    </row>
    <row r="5" spans="1:7" x14ac:dyDescent="0.25">
      <c r="A5">
        <v>4</v>
      </c>
    </row>
    <row r="6" spans="1:7" x14ac:dyDescent="0.25">
      <c r="A6">
        <v>5</v>
      </c>
    </row>
    <row r="7" spans="1:7" x14ac:dyDescent="0.25">
      <c r="A7">
        <v>6</v>
      </c>
    </row>
    <row r="8" spans="1:7" x14ac:dyDescent="0.25">
      <c r="A8">
        <v>7</v>
      </c>
    </row>
    <row r="9" spans="1:7" x14ac:dyDescent="0.25">
      <c r="A9">
        <v>8</v>
      </c>
    </row>
    <row r="10" spans="1:7" x14ac:dyDescent="0.25">
      <c r="A10">
        <v>9</v>
      </c>
    </row>
    <row r="11" spans="1:7" x14ac:dyDescent="0.25">
      <c r="A11">
        <v>10</v>
      </c>
    </row>
    <row r="12" spans="1:7" x14ac:dyDescent="0.25">
      <c r="A12">
        <v>11</v>
      </c>
    </row>
    <row r="13" spans="1:7" x14ac:dyDescent="0.25">
      <c r="A13">
        <v>12</v>
      </c>
    </row>
    <row r="14" spans="1:7" x14ac:dyDescent="0.25">
      <c r="A14">
        <v>13</v>
      </c>
    </row>
    <row r="15" spans="1:7" x14ac:dyDescent="0.25">
      <c r="A15">
        <v>14</v>
      </c>
    </row>
    <row r="16" spans="1:7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  <row r="93" spans="1:1" x14ac:dyDescent="0.25">
      <c r="A93">
        <v>92</v>
      </c>
    </row>
    <row r="94" spans="1:1" x14ac:dyDescent="0.25">
      <c r="A94">
        <v>93</v>
      </c>
    </row>
    <row r="95" spans="1:1" x14ac:dyDescent="0.25">
      <c r="A95">
        <v>94</v>
      </c>
    </row>
    <row r="96" spans="1:1" x14ac:dyDescent="0.25">
      <c r="A96">
        <v>95</v>
      </c>
    </row>
    <row r="97" spans="1:1" x14ac:dyDescent="0.25">
      <c r="A97">
        <v>96</v>
      </c>
    </row>
    <row r="98" spans="1:1" x14ac:dyDescent="0.25">
      <c r="A98">
        <v>97</v>
      </c>
    </row>
    <row r="99" spans="1:1" x14ac:dyDescent="0.25">
      <c r="A99">
        <v>98</v>
      </c>
    </row>
    <row r="100" spans="1:1" x14ac:dyDescent="0.25">
      <c r="A100">
        <v>99</v>
      </c>
    </row>
    <row r="101" spans="1:1" x14ac:dyDescent="0.25">
      <c r="A101">
        <v>100</v>
      </c>
    </row>
    <row r="102" spans="1:1" x14ac:dyDescent="0.25">
      <c r="A102">
        <v>101</v>
      </c>
    </row>
    <row r="103" spans="1:1" x14ac:dyDescent="0.25">
      <c r="A103">
        <v>102</v>
      </c>
    </row>
    <row r="104" spans="1:1" x14ac:dyDescent="0.25">
      <c r="A104">
        <v>103</v>
      </c>
    </row>
    <row r="105" spans="1:1" x14ac:dyDescent="0.25">
      <c r="A105">
        <v>104</v>
      </c>
    </row>
    <row r="106" spans="1:1" x14ac:dyDescent="0.25">
      <c r="A106">
        <v>105</v>
      </c>
    </row>
    <row r="107" spans="1:1" x14ac:dyDescent="0.25">
      <c r="A107">
        <v>106</v>
      </c>
    </row>
    <row r="108" spans="1:1" x14ac:dyDescent="0.25">
      <c r="A108">
        <v>107</v>
      </c>
    </row>
    <row r="109" spans="1:1" x14ac:dyDescent="0.25">
      <c r="A109">
        <v>108</v>
      </c>
    </row>
    <row r="110" spans="1:1" x14ac:dyDescent="0.25">
      <c r="A110">
        <v>109</v>
      </c>
    </row>
    <row r="111" spans="1:1" x14ac:dyDescent="0.25">
      <c r="A111">
        <v>110</v>
      </c>
    </row>
    <row r="112" spans="1:1" x14ac:dyDescent="0.25">
      <c r="A112">
        <v>111</v>
      </c>
    </row>
    <row r="113" spans="1:1" x14ac:dyDescent="0.25">
      <c r="A113">
        <v>112</v>
      </c>
    </row>
    <row r="114" spans="1:1" x14ac:dyDescent="0.25">
      <c r="A114">
        <v>113</v>
      </c>
    </row>
    <row r="115" spans="1:1" x14ac:dyDescent="0.25">
      <c r="A115">
        <v>114</v>
      </c>
    </row>
    <row r="116" spans="1:1" x14ac:dyDescent="0.25">
      <c r="A116">
        <v>115</v>
      </c>
    </row>
    <row r="117" spans="1:1" x14ac:dyDescent="0.25">
      <c r="A117">
        <v>116</v>
      </c>
    </row>
    <row r="118" spans="1:1" x14ac:dyDescent="0.25">
      <c r="A118">
        <v>117</v>
      </c>
    </row>
    <row r="119" spans="1:1" x14ac:dyDescent="0.25">
      <c r="A119">
        <v>118</v>
      </c>
    </row>
    <row r="120" spans="1:1" x14ac:dyDescent="0.25">
      <c r="A120">
        <v>119</v>
      </c>
    </row>
    <row r="121" spans="1:1" x14ac:dyDescent="0.25">
      <c r="A121">
        <v>120</v>
      </c>
    </row>
    <row r="122" spans="1:1" x14ac:dyDescent="0.25">
      <c r="A122">
        <v>121</v>
      </c>
    </row>
    <row r="123" spans="1:1" x14ac:dyDescent="0.25">
      <c r="A123">
        <v>122</v>
      </c>
    </row>
    <row r="124" spans="1:1" x14ac:dyDescent="0.25">
      <c r="A124">
        <v>123</v>
      </c>
    </row>
    <row r="125" spans="1:1" x14ac:dyDescent="0.25">
      <c r="A125">
        <v>124</v>
      </c>
    </row>
    <row r="126" spans="1:1" x14ac:dyDescent="0.25">
      <c r="A126">
        <v>125</v>
      </c>
    </row>
    <row r="127" spans="1:1" x14ac:dyDescent="0.25">
      <c r="A127">
        <v>126</v>
      </c>
    </row>
    <row r="128" spans="1:1" x14ac:dyDescent="0.25">
      <c r="A128">
        <v>127</v>
      </c>
    </row>
    <row r="129" spans="1:1" x14ac:dyDescent="0.25">
      <c r="A129">
        <v>128</v>
      </c>
    </row>
    <row r="130" spans="1:1" x14ac:dyDescent="0.25">
      <c r="A130">
        <v>129</v>
      </c>
    </row>
    <row r="131" spans="1:1" x14ac:dyDescent="0.25">
      <c r="A131">
        <v>130</v>
      </c>
    </row>
    <row r="132" spans="1:1" x14ac:dyDescent="0.25">
      <c r="A132">
        <v>131</v>
      </c>
    </row>
    <row r="133" spans="1:1" x14ac:dyDescent="0.25">
      <c r="A133">
        <v>132</v>
      </c>
    </row>
    <row r="134" spans="1:1" x14ac:dyDescent="0.25">
      <c r="A134">
        <v>133</v>
      </c>
    </row>
    <row r="135" spans="1:1" x14ac:dyDescent="0.25">
      <c r="A135">
        <v>134</v>
      </c>
    </row>
    <row r="136" spans="1:1" x14ac:dyDescent="0.25">
      <c r="A136">
        <v>135</v>
      </c>
    </row>
    <row r="137" spans="1:1" x14ac:dyDescent="0.25">
      <c r="A137">
        <v>136</v>
      </c>
    </row>
    <row r="138" spans="1:1" x14ac:dyDescent="0.25">
      <c r="A138">
        <v>137</v>
      </c>
    </row>
    <row r="139" spans="1:1" x14ac:dyDescent="0.25">
      <c r="A139">
        <v>138</v>
      </c>
    </row>
    <row r="140" spans="1:1" x14ac:dyDescent="0.25">
      <c r="A140">
        <v>139</v>
      </c>
    </row>
    <row r="141" spans="1:1" x14ac:dyDescent="0.25">
      <c r="A141">
        <v>140</v>
      </c>
    </row>
    <row r="142" spans="1:1" x14ac:dyDescent="0.25">
      <c r="A142">
        <v>141</v>
      </c>
    </row>
    <row r="143" spans="1:1" x14ac:dyDescent="0.25">
      <c r="A143">
        <v>142</v>
      </c>
    </row>
    <row r="144" spans="1:1" x14ac:dyDescent="0.25">
      <c r="A144">
        <v>143</v>
      </c>
    </row>
    <row r="145" spans="1:1" x14ac:dyDescent="0.25">
      <c r="A145">
        <v>144</v>
      </c>
    </row>
    <row r="146" spans="1:1" x14ac:dyDescent="0.25">
      <c r="A146">
        <v>145</v>
      </c>
    </row>
    <row r="147" spans="1:1" x14ac:dyDescent="0.25">
      <c r="A147">
        <v>146</v>
      </c>
    </row>
    <row r="148" spans="1:1" x14ac:dyDescent="0.25">
      <c r="A148">
        <v>147</v>
      </c>
    </row>
    <row r="149" spans="1:1" x14ac:dyDescent="0.25">
      <c r="A149">
        <v>148</v>
      </c>
    </row>
    <row r="150" spans="1:1" x14ac:dyDescent="0.25">
      <c r="A150">
        <v>149</v>
      </c>
    </row>
    <row r="151" spans="1:1" x14ac:dyDescent="0.25">
      <c r="A151">
        <v>150</v>
      </c>
    </row>
    <row r="152" spans="1:1" x14ac:dyDescent="0.25">
      <c r="A152">
        <v>151</v>
      </c>
    </row>
    <row r="153" spans="1:1" x14ac:dyDescent="0.25">
      <c r="A153">
        <v>152</v>
      </c>
    </row>
    <row r="154" spans="1:1" x14ac:dyDescent="0.25">
      <c r="A154">
        <v>153</v>
      </c>
    </row>
    <row r="155" spans="1:1" x14ac:dyDescent="0.25">
      <c r="A155">
        <v>154</v>
      </c>
    </row>
    <row r="156" spans="1:1" x14ac:dyDescent="0.25">
      <c r="A156">
        <v>155</v>
      </c>
    </row>
    <row r="157" spans="1:1" x14ac:dyDescent="0.25">
      <c r="A157">
        <v>156</v>
      </c>
    </row>
    <row r="158" spans="1:1" x14ac:dyDescent="0.25">
      <c r="A158">
        <v>157</v>
      </c>
    </row>
    <row r="159" spans="1:1" x14ac:dyDescent="0.25">
      <c r="A159">
        <v>158</v>
      </c>
    </row>
    <row r="160" spans="1:1" x14ac:dyDescent="0.25">
      <c r="A160">
        <v>159</v>
      </c>
    </row>
    <row r="161" spans="1:1" x14ac:dyDescent="0.25">
      <c r="A161">
        <v>160</v>
      </c>
    </row>
    <row r="162" spans="1:1" x14ac:dyDescent="0.25">
      <c r="A162">
        <v>161</v>
      </c>
    </row>
    <row r="163" spans="1:1" x14ac:dyDescent="0.25">
      <c r="A163">
        <v>162</v>
      </c>
    </row>
    <row r="164" spans="1:1" x14ac:dyDescent="0.25">
      <c r="A164">
        <v>163</v>
      </c>
    </row>
    <row r="165" spans="1:1" x14ac:dyDescent="0.25">
      <c r="A165">
        <v>164</v>
      </c>
    </row>
    <row r="166" spans="1:1" x14ac:dyDescent="0.25">
      <c r="A166">
        <v>165</v>
      </c>
    </row>
    <row r="167" spans="1:1" x14ac:dyDescent="0.25">
      <c r="A167">
        <v>166</v>
      </c>
    </row>
    <row r="168" spans="1:1" x14ac:dyDescent="0.25">
      <c r="A168">
        <v>167</v>
      </c>
    </row>
    <row r="169" spans="1:1" x14ac:dyDescent="0.25">
      <c r="A169">
        <v>168</v>
      </c>
    </row>
    <row r="170" spans="1:1" x14ac:dyDescent="0.25">
      <c r="A170">
        <v>169</v>
      </c>
    </row>
    <row r="171" spans="1:1" x14ac:dyDescent="0.25">
      <c r="A171">
        <v>170</v>
      </c>
    </row>
    <row r="172" spans="1:1" x14ac:dyDescent="0.25">
      <c r="A172">
        <v>171</v>
      </c>
    </row>
    <row r="173" spans="1:1" x14ac:dyDescent="0.25">
      <c r="A173">
        <v>172</v>
      </c>
    </row>
    <row r="174" spans="1:1" x14ac:dyDescent="0.25">
      <c r="A174">
        <v>173</v>
      </c>
    </row>
    <row r="175" spans="1:1" x14ac:dyDescent="0.25">
      <c r="A175">
        <v>174</v>
      </c>
    </row>
    <row r="176" spans="1:1" x14ac:dyDescent="0.25">
      <c r="A176">
        <v>175</v>
      </c>
    </row>
    <row r="177" spans="1:1" x14ac:dyDescent="0.25">
      <c r="A177">
        <v>176</v>
      </c>
    </row>
    <row r="178" spans="1:1" x14ac:dyDescent="0.25">
      <c r="A178">
        <v>177</v>
      </c>
    </row>
    <row r="179" spans="1:1" x14ac:dyDescent="0.25">
      <c r="A179">
        <v>178</v>
      </c>
    </row>
    <row r="180" spans="1:1" x14ac:dyDescent="0.25">
      <c r="A180">
        <v>179</v>
      </c>
    </row>
    <row r="181" spans="1:1" x14ac:dyDescent="0.25">
      <c r="A181">
        <v>180</v>
      </c>
    </row>
    <row r="182" spans="1:1" x14ac:dyDescent="0.25">
      <c r="A182">
        <v>181</v>
      </c>
    </row>
    <row r="183" spans="1:1" x14ac:dyDescent="0.25">
      <c r="A183">
        <v>182</v>
      </c>
    </row>
    <row r="184" spans="1:1" x14ac:dyDescent="0.25">
      <c r="A184">
        <v>183</v>
      </c>
    </row>
    <row r="185" spans="1:1" x14ac:dyDescent="0.25">
      <c r="A185">
        <v>184</v>
      </c>
    </row>
    <row r="186" spans="1:1" x14ac:dyDescent="0.25">
      <c r="A186">
        <v>185</v>
      </c>
    </row>
    <row r="187" spans="1:1" x14ac:dyDescent="0.25">
      <c r="A187">
        <v>186</v>
      </c>
    </row>
    <row r="188" spans="1:1" x14ac:dyDescent="0.25">
      <c r="A188">
        <v>187</v>
      </c>
    </row>
    <row r="189" spans="1:1" x14ac:dyDescent="0.25">
      <c r="A189">
        <v>188</v>
      </c>
    </row>
    <row r="190" spans="1:1" x14ac:dyDescent="0.25">
      <c r="A190">
        <v>189</v>
      </c>
    </row>
    <row r="191" spans="1:1" x14ac:dyDescent="0.25">
      <c r="A191">
        <v>190</v>
      </c>
    </row>
    <row r="192" spans="1:1" x14ac:dyDescent="0.25">
      <c r="A192">
        <v>191</v>
      </c>
    </row>
    <row r="193" spans="1:1" x14ac:dyDescent="0.25">
      <c r="A193">
        <v>192</v>
      </c>
    </row>
    <row r="194" spans="1:1" x14ac:dyDescent="0.25">
      <c r="A194">
        <v>193</v>
      </c>
    </row>
    <row r="195" spans="1:1" x14ac:dyDescent="0.25">
      <c r="A195">
        <v>194</v>
      </c>
    </row>
    <row r="196" spans="1:1" x14ac:dyDescent="0.25">
      <c r="A196">
        <v>195</v>
      </c>
    </row>
    <row r="197" spans="1:1" x14ac:dyDescent="0.25">
      <c r="A197">
        <v>196</v>
      </c>
    </row>
    <row r="198" spans="1:1" x14ac:dyDescent="0.25">
      <c r="A198">
        <v>197</v>
      </c>
    </row>
    <row r="199" spans="1:1" x14ac:dyDescent="0.25">
      <c r="A199">
        <v>198</v>
      </c>
    </row>
    <row r="200" spans="1:1" x14ac:dyDescent="0.25">
      <c r="A200">
        <v>199</v>
      </c>
    </row>
    <row r="201" spans="1:1" x14ac:dyDescent="0.25">
      <c r="A201">
        <v>200</v>
      </c>
    </row>
    <row r="202" spans="1:1" x14ac:dyDescent="0.25">
      <c r="A202">
        <v>201</v>
      </c>
    </row>
    <row r="203" spans="1:1" x14ac:dyDescent="0.25">
      <c r="A203">
        <v>202</v>
      </c>
    </row>
    <row r="204" spans="1:1" x14ac:dyDescent="0.25">
      <c r="A204">
        <v>203</v>
      </c>
    </row>
    <row r="205" spans="1:1" x14ac:dyDescent="0.25">
      <c r="A205">
        <v>204</v>
      </c>
    </row>
    <row r="206" spans="1:1" x14ac:dyDescent="0.25">
      <c r="A206">
        <v>205</v>
      </c>
    </row>
    <row r="207" spans="1:1" x14ac:dyDescent="0.25">
      <c r="A207">
        <v>206</v>
      </c>
    </row>
    <row r="208" spans="1:1" x14ac:dyDescent="0.25">
      <c r="A208">
        <v>207</v>
      </c>
    </row>
    <row r="209" spans="1:1" x14ac:dyDescent="0.25">
      <c r="A209">
        <v>208</v>
      </c>
    </row>
    <row r="210" spans="1:1" x14ac:dyDescent="0.25">
      <c r="A210">
        <v>209</v>
      </c>
    </row>
    <row r="211" spans="1:1" x14ac:dyDescent="0.25">
      <c r="A211">
        <v>210</v>
      </c>
    </row>
    <row r="212" spans="1:1" x14ac:dyDescent="0.25">
      <c r="A212">
        <v>211</v>
      </c>
    </row>
    <row r="213" spans="1:1" x14ac:dyDescent="0.25">
      <c r="A213">
        <v>212</v>
      </c>
    </row>
    <row r="214" spans="1:1" x14ac:dyDescent="0.25">
      <c r="A214">
        <v>213</v>
      </c>
    </row>
    <row r="215" spans="1:1" x14ac:dyDescent="0.25">
      <c r="A215">
        <v>214</v>
      </c>
    </row>
    <row r="216" spans="1:1" x14ac:dyDescent="0.25">
      <c r="A216">
        <v>215</v>
      </c>
    </row>
    <row r="217" spans="1:1" x14ac:dyDescent="0.25">
      <c r="A217">
        <v>216</v>
      </c>
    </row>
    <row r="218" spans="1:1" x14ac:dyDescent="0.25">
      <c r="A218">
        <v>217</v>
      </c>
    </row>
    <row r="219" spans="1:1" x14ac:dyDescent="0.25">
      <c r="A219">
        <v>218</v>
      </c>
    </row>
    <row r="220" spans="1:1" x14ac:dyDescent="0.25">
      <c r="A220">
        <v>219</v>
      </c>
    </row>
    <row r="221" spans="1:1" x14ac:dyDescent="0.25">
      <c r="A221">
        <v>220</v>
      </c>
    </row>
    <row r="222" spans="1:1" x14ac:dyDescent="0.25">
      <c r="A222">
        <v>221</v>
      </c>
    </row>
    <row r="223" spans="1:1" x14ac:dyDescent="0.25">
      <c r="A223">
        <v>222</v>
      </c>
    </row>
    <row r="224" spans="1:1" x14ac:dyDescent="0.25">
      <c r="A224">
        <v>223</v>
      </c>
    </row>
    <row r="225" spans="1:1" x14ac:dyDescent="0.25">
      <c r="A225">
        <v>224</v>
      </c>
    </row>
    <row r="226" spans="1:1" x14ac:dyDescent="0.25">
      <c r="A226">
        <v>225</v>
      </c>
    </row>
    <row r="227" spans="1:1" x14ac:dyDescent="0.25">
      <c r="A227">
        <v>226</v>
      </c>
    </row>
    <row r="228" spans="1:1" x14ac:dyDescent="0.25">
      <c r="A228">
        <v>227</v>
      </c>
    </row>
    <row r="229" spans="1:1" x14ac:dyDescent="0.25">
      <c r="A229">
        <v>228</v>
      </c>
    </row>
    <row r="230" spans="1:1" x14ac:dyDescent="0.25">
      <c r="A230">
        <v>229</v>
      </c>
    </row>
    <row r="231" spans="1:1" x14ac:dyDescent="0.25">
      <c r="A231">
        <v>230</v>
      </c>
    </row>
    <row r="232" spans="1:1" x14ac:dyDescent="0.25">
      <c r="A232">
        <v>231</v>
      </c>
    </row>
    <row r="233" spans="1:1" x14ac:dyDescent="0.25">
      <c r="A233">
        <v>232</v>
      </c>
    </row>
    <row r="234" spans="1:1" x14ac:dyDescent="0.25">
      <c r="A234">
        <v>233</v>
      </c>
    </row>
    <row r="235" spans="1:1" x14ac:dyDescent="0.25">
      <c r="A235">
        <v>234</v>
      </c>
    </row>
    <row r="236" spans="1:1" x14ac:dyDescent="0.25">
      <c r="A236">
        <v>235</v>
      </c>
    </row>
    <row r="237" spans="1:1" x14ac:dyDescent="0.25">
      <c r="A237">
        <v>236</v>
      </c>
    </row>
    <row r="238" spans="1:1" x14ac:dyDescent="0.25">
      <c r="A238">
        <v>237</v>
      </c>
    </row>
    <row r="239" spans="1:1" x14ac:dyDescent="0.25">
      <c r="A239">
        <v>238</v>
      </c>
    </row>
    <row r="240" spans="1:1" x14ac:dyDescent="0.25">
      <c r="A240">
        <v>239</v>
      </c>
    </row>
    <row r="241" spans="1:1" x14ac:dyDescent="0.25">
      <c r="A241">
        <v>240</v>
      </c>
    </row>
    <row r="242" spans="1:1" x14ac:dyDescent="0.25">
      <c r="A242">
        <v>241</v>
      </c>
    </row>
    <row r="243" spans="1:1" x14ac:dyDescent="0.25">
      <c r="A243">
        <v>242</v>
      </c>
    </row>
    <row r="244" spans="1:1" x14ac:dyDescent="0.25">
      <c r="A244">
        <v>243</v>
      </c>
    </row>
    <row r="245" spans="1:1" x14ac:dyDescent="0.25">
      <c r="A245">
        <v>244</v>
      </c>
    </row>
    <row r="246" spans="1:1" x14ac:dyDescent="0.25">
      <c r="A246">
        <v>245</v>
      </c>
    </row>
    <row r="247" spans="1:1" x14ac:dyDescent="0.25">
      <c r="A247">
        <v>246</v>
      </c>
    </row>
    <row r="248" spans="1:1" x14ac:dyDescent="0.25">
      <c r="A248">
        <v>247</v>
      </c>
    </row>
    <row r="249" spans="1:1" x14ac:dyDescent="0.25">
      <c r="A249">
        <v>248</v>
      </c>
    </row>
    <row r="250" spans="1:1" x14ac:dyDescent="0.25">
      <c r="A250">
        <v>249</v>
      </c>
    </row>
    <row r="251" spans="1:1" x14ac:dyDescent="0.25">
      <c r="A251">
        <v>250</v>
      </c>
    </row>
    <row r="252" spans="1:1" x14ac:dyDescent="0.25">
      <c r="A252">
        <v>251</v>
      </c>
    </row>
    <row r="253" spans="1:1" x14ac:dyDescent="0.25">
      <c r="A253">
        <v>252</v>
      </c>
    </row>
    <row r="254" spans="1:1" x14ac:dyDescent="0.25">
      <c r="A254">
        <v>253</v>
      </c>
    </row>
    <row r="255" spans="1:1" x14ac:dyDescent="0.25">
      <c r="A255">
        <v>254</v>
      </c>
    </row>
    <row r="256" spans="1:1" x14ac:dyDescent="0.25">
      <c r="A256">
        <v>255</v>
      </c>
    </row>
    <row r="257" spans="1:1" x14ac:dyDescent="0.25">
      <c r="A257">
        <v>256</v>
      </c>
    </row>
    <row r="258" spans="1:1" x14ac:dyDescent="0.25">
      <c r="A258">
        <v>257</v>
      </c>
    </row>
    <row r="259" spans="1:1" x14ac:dyDescent="0.25">
      <c r="A259">
        <v>258</v>
      </c>
    </row>
    <row r="260" spans="1:1" x14ac:dyDescent="0.25">
      <c r="A260">
        <v>259</v>
      </c>
    </row>
    <row r="261" spans="1:1" x14ac:dyDescent="0.25">
      <c r="A261">
        <v>260</v>
      </c>
    </row>
    <row r="262" spans="1:1" x14ac:dyDescent="0.25">
      <c r="A262">
        <v>261</v>
      </c>
    </row>
    <row r="263" spans="1:1" x14ac:dyDescent="0.25">
      <c r="A263">
        <v>262</v>
      </c>
    </row>
    <row r="264" spans="1:1" x14ac:dyDescent="0.25">
      <c r="A264">
        <v>263</v>
      </c>
    </row>
    <row r="265" spans="1:1" x14ac:dyDescent="0.25">
      <c r="A265">
        <v>264</v>
      </c>
    </row>
    <row r="266" spans="1:1" x14ac:dyDescent="0.25">
      <c r="A266">
        <v>265</v>
      </c>
    </row>
    <row r="267" spans="1:1" x14ac:dyDescent="0.25">
      <c r="A267">
        <v>266</v>
      </c>
    </row>
    <row r="268" spans="1:1" x14ac:dyDescent="0.25">
      <c r="A268">
        <v>267</v>
      </c>
    </row>
    <row r="269" spans="1:1" x14ac:dyDescent="0.25">
      <c r="A269">
        <v>268</v>
      </c>
    </row>
    <row r="270" spans="1:1" x14ac:dyDescent="0.25">
      <c r="A270">
        <v>269</v>
      </c>
    </row>
    <row r="271" spans="1:1" x14ac:dyDescent="0.25">
      <c r="A271">
        <v>270</v>
      </c>
    </row>
    <row r="272" spans="1:1" x14ac:dyDescent="0.25">
      <c r="A272">
        <v>271</v>
      </c>
    </row>
    <row r="273" spans="1:1" x14ac:dyDescent="0.25">
      <c r="A273">
        <v>272</v>
      </c>
    </row>
    <row r="274" spans="1:1" x14ac:dyDescent="0.25">
      <c r="A274">
        <v>273</v>
      </c>
    </row>
    <row r="275" spans="1:1" x14ac:dyDescent="0.25">
      <c r="A275">
        <v>274</v>
      </c>
    </row>
    <row r="276" spans="1:1" x14ac:dyDescent="0.25">
      <c r="A276">
        <v>275</v>
      </c>
    </row>
    <row r="277" spans="1:1" x14ac:dyDescent="0.25">
      <c r="A277">
        <v>276</v>
      </c>
    </row>
    <row r="278" spans="1:1" x14ac:dyDescent="0.25">
      <c r="A278">
        <v>277</v>
      </c>
    </row>
    <row r="279" spans="1:1" x14ac:dyDescent="0.25">
      <c r="A279">
        <v>278</v>
      </c>
    </row>
    <row r="280" spans="1:1" x14ac:dyDescent="0.25">
      <c r="A280">
        <v>279</v>
      </c>
    </row>
    <row r="281" spans="1:1" x14ac:dyDescent="0.25">
      <c r="A281">
        <v>280</v>
      </c>
    </row>
    <row r="282" spans="1:1" x14ac:dyDescent="0.25">
      <c r="A282">
        <v>281</v>
      </c>
    </row>
    <row r="283" spans="1:1" x14ac:dyDescent="0.25">
      <c r="A283">
        <v>282</v>
      </c>
    </row>
    <row r="284" spans="1:1" x14ac:dyDescent="0.25">
      <c r="A284">
        <v>283</v>
      </c>
    </row>
    <row r="285" spans="1:1" x14ac:dyDescent="0.25">
      <c r="A285">
        <v>284</v>
      </c>
    </row>
    <row r="286" spans="1:1" x14ac:dyDescent="0.25">
      <c r="A286">
        <v>285</v>
      </c>
    </row>
    <row r="287" spans="1:1" x14ac:dyDescent="0.25">
      <c r="A287">
        <v>286</v>
      </c>
    </row>
    <row r="288" spans="1:1" x14ac:dyDescent="0.25">
      <c r="A288">
        <v>287</v>
      </c>
    </row>
    <row r="289" spans="1:1" x14ac:dyDescent="0.25">
      <c r="A289">
        <v>288</v>
      </c>
    </row>
    <row r="290" spans="1:1" x14ac:dyDescent="0.25">
      <c r="A290">
        <v>289</v>
      </c>
    </row>
    <row r="291" spans="1:1" x14ac:dyDescent="0.25">
      <c r="A291">
        <v>290</v>
      </c>
    </row>
    <row r="292" spans="1:1" x14ac:dyDescent="0.25">
      <c r="A292">
        <v>291</v>
      </c>
    </row>
    <row r="293" spans="1:1" x14ac:dyDescent="0.25">
      <c r="A293">
        <v>292</v>
      </c>
    </row>
    <row r="294" spans="1:1" x14ac:dyDescent="0.25">
      <c r="A294">
        <v>293</v>
      </c>
    </row>
    <row r="295" spans="1:1" x14ac:dyDescent="0.25">
      <c r="A295">
        <v>294</v>
      </c>
    </row>
    <row r="296" spans="1:1" x14ac:dyDescent="0.25">
      <c r="A296">
        <v>295</v>
      </c>
    </row>
    <row r="297" spans="1:1" x14ac:dyDescent="0.25">
      <c r="A297">
        <v>296</v>
      </c>
    </row>
    <row r="298" spans="1:1" x14ac:dyDescent="0.25">
      <c r="A298">
        <v>297</v>
      </c>
    </row>
    <row r="299" spans="1:1" x14ac:dyDescent="0.25">
      <c r="A299">
        <v>298</v>
      </c>
    </row>
    <row r="300" spans="1:1" x14ac:dyDescent="0.25">
      <c r="A300">
        <v>299</v>
      </c>
    </row>
    <row r="301" spans="1:1" x14ac:dyDescent="0.25">
      <c r="A301">
        <v>300</v>
      </c>
    </row>
    <row r="302" spans="1:1" x14ac:dyDescent="0.25">
      <c r="A302">
        <v>301</v>
      </c>
    </row>
    <row r="303" spans="1:1" x14ac:dyDescent="0.25">
      <c r="A303">
        <v>302</v>
      </c>
    </row>
    <row r="304" spans="1:1" x14ac:dyDescent="0.25">
      <c r="A304">
        <v>303</v>
      </c>
    </row>
    <row r="305" spans="1:1" x14ac:dyDescent="0.25">
      <c r="A305">
        <v>304</v>
      </c>
    </row>
    <row r="306" spans="1:1" x14ac:dyDescent="0.25">
      <c r="A306">
        <v>305</v>
      </c>
    </row>
    <row r="307" spans="1:1" x14ac:dyDescent="0.25">
      <c r="A307">
        <v>306</v>
      </c>
    </row>
    <row r="308" spans="1:1" x14ac:dyDescent="0.25">
      <c r="A308">
        <v>307</v>
      </c>
    </row>
    <row r="309" spans="1:1" x14ac:dyDescent="0.25">
      <c r="A309">
        <v>308</v>
      </c>
    </row>
    <row r="310" spans="1:1" x14ac:dyDescent="0.25">
      <c r="A310">
        <v>309</v>
      </c>
    </row>
    <row r="311" spans="1:1" x14ac:dyDescent="0.25">
      <c r="A311">
        <v>310</v>
      </c>
    </row>
    <row r="312" spans="1:1" x14ac:dyDescent="0.25">
      <c r="A312">
        <v>311</v>
      </c>
    </row>
    <row r="313" spans="1:1" x14ac:dyDescent="0.25">
      <c r="A313">
        <v>312</v>
      </c>
    </row>
    <row r="314" spans="1:1" x14ac:dyDescent="0.25">
      <c r="A314">
        <v>313</v>
      </c>
    </row>
    <row r="315" spans="1:1" x14ac:dyDescent="0.25">
      <c r="A315">
        <v>314</v>
      </c>
    </row>
    <row r="316" spans="1:1" x14ac:dyDescent="0.25">
      <c r="A316">
        <v>315</v>
      </c>
    </row>
    <row r="317" spans="1:1" x14ac:dyDescent="0.25">
      <c r="A317">
        <v>316</v>
      </c>
    </row>
    <row r="318" spans="1:1" x14ac:dyDescent="0.25">
      <c r="A318">
        <v>317</v>
      </c>
    </row>
    <row r="319" spans="1:1" x14ac:dyDescent="0.25">
      <c r="A319">
        <v>318</v>
      </c>
    </row>
    <row r="320" spans="1:1" x14ac:dyDescent="0.25">
      <c r="A320">
        <v>319</v>
      </c>
    </row>
    <row r="321" spans="1:1" x14ac:dyDescent="0.25">
      <c r="A321">
        <v>320</v>
      </c>
    </row>
    <row r="322" spans="1:1" x14ac:dyDescent="0.25">
      <c r="A322">
        <v>321</v>
      </c>
    </row>
    <row r="323" spans="1:1" x14ac:dyDescent="0.25">
      <c r="A323">
        <v>322</v>
      </c>
    </row>
    <row r="324" spans="1:1" x14ac:dyDescent="0.25">
      <c r="A324">
        <v>323</v>
      </c>
    </row>
    <row r="325" spans="1:1" x14ac:dyDescent="0.25">
      <c r="A325">
        <v>324</v>
      </c>
    </row>
    <row r="326" spans="1:1" x14ac:dyDescent="0.25">
      <c r="A326">
        <v>325</v>
      </c>
    </row>
    <row r="327" spans="1:1" x14ac:dyDescent="0.25">
      <c r="A327">
        <v>326</v>
      </c>
    </row>
    <row r="328" spans="1:1" x14ac:dyDescent="0.25">
      <c r="A328">
        <v>327</v>
      </c>
    </row>
    <row r="329" spans="1:1" x14ac:dyDescent="0.25">
      <c r="A329">
        <v>328</v>
      </c>
    </row>
    <row r="330" spans="1:1" x14ac:dyDescent="0.25">
      <c r="A330">
        <v>329</v>
      </c>
    </row>
    <row r="331" spans="1:1" x14ac:dyDescent="0.25">
      <c r="A331">
        <v>330</v>
      </c>
    </row>
    <row r="332" spans="1:1" x14ac:dyDescent="0.25">
      <c r="A332">
        <v>331</v>
      </c>
    </row>
    <row r="333" spans="1:1" x14ac:dyDescent="0.25">
      <c r="A333">
        <v>332</v>
      </c>
    </row>
    <row r="334" spans="1:1" x14ac:dyDescent="0.25">
      <c r="A334">
        <v>333</v>
      </c>
    </row>
    <row r="335" spans="1:1" x14ac:dyDescent="0.25">
      <c r="A335">
        <v>334</v>
      </c>
    </row>
    <row r="336" spans="1:1" x14ac:dyDescent="0.25">
      <c r="A336">
        <v>335</v>
      </c>
    </row>
    <row r="337" spans="1:1" x14ac:dyDescent="0.25">
      <c r="A337">
        <v>336</v>
      </c>
    </row>
    <row r="338" spans="1:1" x14ac:dyDescent="0.25">
      <c r="A338">
        <v>337</v>
      </c>
    </row>
    <row r="339" spans="1:1" x14ac:dyDescent="0.25">
      <c r="A339">
        <v>338</v>
      </c>
    </row>
    <row r="340" spans="1:1" x14ac:dyDescent="0.25">
      <c r="A340">
        <v>339</v>
      </c>
    </row>
    <row r="341" spans="1:1" x14ac:dyDescent="0.25">
      <c r="A341">
        <v>340</v>
      </c>
    </row>
    <row r="342" spans="1:1" x14ac:dyDescent="0.25">
      <c r="A342">
        <v>341</v>
      </c>
    </row>
    <row r="343" spans="1:1" x14ac:dyDescent="0.25">
      <c r="A343">
        <v>342</v>
      </c>
    </row>
    <row r="344" spans="1:1" x14ac:dyDescent="0.25">
      <c r="A344">
        <v>343</v>
      </c>
    </row>
    <row r="345" spans="1:1" x14ac:dyDescent="0.25">
      <c r="A345">
        <v>344</v>
      </c>
    </row>
    <row r="346" spans="1:1" x14ac:dyDescent="0.25">
      <c r="A346">
        <v>345</v>
      </c>
    </row>
    <row r="347" spans="1:1" x14ac:dyDescent="0.25">
      <c r="A347">
        <v>346</v>
      </c>
    </row>
    <row r="348" spans="1:1" x14ac:dyDescent="0.25">
      <c r="A348">
        <v>347</v>
      </c>
    </row>
    <row r="349" spans="1:1" x14ac:dyDescent="0.25">
      <c r="A349">
        <v>348</v>
      </c>
    </row>
    <row r="350" spans="1:1" x14ac:dyDescent="0.25">
      <c r="A350">
        <v>349</v>
      </c>
    </row>
    <row r="351" spans="1:1" x14ac:dyDescent="0.25">
      <c r="A351">
        <v>350</v>
      </c>
    </row>
    <row r="352" spans="1:1" x14ac:dyDescent="0.25">
      <c r="A352">
        <v>351</v>
      </c>
    </row>
    <row r="353" spans="1:1" x14ac:dyDescent="0.25">
      <c r="A353">
        <v>352</v>
      </c>
    </row>
    <row r="354" spans="1:1" x14ac:dyDescent="0.25">
      <c r="A354">
        <v>353</v>
      </c>
    </row>
    <row r="355" spans="1:1" x14ac:dyDescent="0.25">
      <c r="A355">
        <v>354</v>
      </c>
    </row>
    <row r="356" spans="1:1" x14ac:dyDescent="0.25">
      <c r="A356">
        <v>355</v>
      </c>
    </row>
    <row r="357" spans="1:1" x14ac:dyDescent="0.25">
      <c r="A357">
        <v>356</v>
      </c>
    </row>
    <row r="358" spans="1:1" x14ac:dyDescent="0.25">
      <c r="A358">
        <v>357</v>
      </c>
    </row>
    <row r="359" spans="1:1" x14ac:dyDescent="0.25">
      <c r="A359">
        <v>358</v>
      </c>
    </row>
    <row r="360" spans="1:1" x14ac:dyDescent="0.25">
      <c r="A360">
        <v>359</v>
      </c>
    </row>
    <row r="361" spans="1:1" x14ac:dyDescent="0.25">
      <c r="A361">
        <v>360</v>
      </c>
    </row>
    <row r="362" spans="1:1" x14ac:dyDescent="0.25">
      <c r="A362">
        <v>361</v>
      </c>
    </row>
    <row r="363" spans="1:1" x14ac:dyDescent="0.25">
      <c r="A363">
        <v>362</v>
      </c>
    </row>
    <row r="364" spans="1:1" x14ac:dyDescent="0.25">
      <c r="A364">
        <v>363</v>
      </c>
    </row>
    <row r="365" spans="1:1" x14ac:dyDescent="0.25">
      <c r="A365">
        <v>364</v>
      </c>
    </row>
    <row r="366" spans="1:1" x14ac:dyDescent="0.25">
      <c r="A366">
        <v>365</v>
      </c>
    </row>
    <row r="367" spans="1:1" x14ac:dyDescent="0.25">
      <c r="A367">
        <v>366</v>
      </c>
    </row>
    <row r="368" spans="1:1" x14ac:dyDescent="0.25">
      <c r="A368">
        <v>367</v>
      </c>
    </row>
    <row r="369" spans="1:1" x14ac:dyDescent="0.25">
      <c r="A369">
        <v>368</v>
      </c>
    </row>
    <row r="370" spans="1:1" x14ac:dyDescent="0.25">
      <c r="A370">
        <v>369</v>
      </c>
    </row>
    <row r="371" spans="1:1" x14ac:dyDescent="0.25">
      <c r="A371">
        <v>370</v>
      </c>
    </row>
    <row r="372" spans="1:1" x14ac:dyDescent="0.25">
      <c r="A372">
        <v>371</v>
      </c>
    </row>
    <row r="373" spans="1:1" x14ac:dyDescent="0.25">
      <c r="A373">
        <v>372</v>
      </c>
    </row>
    <row r="374" spans="1:1" x14ac:dyDescent="0.25">
      <c r="A374">
        <v>373</v>
      </c>
    </row>
    <row r="375" spans="1:1" x14ac:dyDescent="0.25">
      <c r="A375">
        <v>374</v>
      </c>
    </row>
    <row r="376" spans="1:1" x14ac:dyDescent="0.25">
      <c r="A376">
        <v>375</v>
      </c>
    </row>
    <row r="377" spans="1:1" x14ac:dyDescent="0.25">
      <c r="A377">
        <v>376</v>
      </c>
    </row>
    <row r="378" spans="1:1" x14ac:dyDescent="0.25">
      <c r="A378">
        <v>377</v>
      </c>
    </row>
    <row r="379" spans="1:1" x14ac:dyDescent="0.25">
      <c r="A379">
        <v>378</v>
      </c>
    </row>
    <row r="380" spans="1:1" x14ac:dyDescent="0.25">
      <c r="A380">
        <v>379</v>
      </c>
    </row>
    <row r="381" spans="1:1" x14ac:dyDescent="0.25">
      <c r="A381">
        <v>380</v>
      </c>
    </row>
    <row r="382" spans="1:1" x14ac:dyDescent="0.25">
      <c r="A382">
        <v>381</v>
      </c>
    </row>
    <row r="383" spans="1:1" x14ac:dyDescent="0.25">
      <c r="A383">
        <v>382</v>
      </c>
    </row>
    <row r="384" spans="1:1" x14ac:dyDescent="0.25">
      <c r="A384">
        <v>383</v>
      </c>
    </row>
    <row r="385" spans="1:1" x14ac:dyDescent="0.25">
      <c r="A385">
        <v>384</v>
      </c>
    </row>
    <row r="386" spans="1:1" x14ac:dyDescent="0.25">
      <c r="A386">
        <v>385</v>
      </c>
    </row>
    <row r="387" spans="1:1" x14ac:dyDescent="0.25">
      <c r="A387">
        <v>386</v>
      </c>
    </row>
    <row r="388" spans="1:1" x14ac:dyDescent="0.25">
      <c r="A388">
        <v>387</v>
      </c>
    </row>
    <row r="389" spans="1:1" x14ac:dyDescent="0.25">
      <c r="A389">
        <v>388</v>
      </c>
    </row>
    <row r="390" spans="1:1" x14ac:dyDescent="0.25">
      <c r="A390">
        <v>389</v>
      </c>
    </row>
    <row r="391" spans="1:1" x14ac:dyDescent="0.25">
      <c r="A391">
        <v>390</v>
      </c>
    </row>
    <row r="392" spans="1:1" x14ac:dyDescent="0.25">
      <c r="A392">
        <v>391</v>
      </c>
    </row>
    <row r="393" spans="1:1" x14ac:dyDescent="0.25">
      <c r="A393">
        <v>392</v>
      </c>
    </row>
    <row r="394" spans="1:1" x14ac:dyDescent="0.25">
      <c r="A394">
        <v>393</v>
      </c>
    </row>
    <row r="395" spans="1:1" x14ac:dyDescent="0.25">
      <c r="A395">
        <v>394</v>
      </c>
    </row>
    <row r="396" spans="1:1" x14ac:dyDescent="0.25">
      <c r="A396">
        <v>395</v>
      </c>
    </row>
    <row r="397" spans="1:1" x14ac:dyDescent="0.25">
      <c r="A397">
        <v>396</v>
      </c>
    </row>
    <row r="398" spans="1:1" x14ac:dyDescent="0.25">
      <c r="A398">
        <v>397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>
    <pageSetUpPr fitToPage="1"/>
  </sheetPr>
  <dimension ref="A1:Q42"/>
  <sheetViews>
    <sheetView tabSelected="1" zoomScaleNormal="100" workbookViewId="0">
      <selection activeCell="A4" sqref="A4:K4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N1">
        <v>1</v>
      </c>
      <c r="P1" t="str">
        <f>CONCATENATE(VLOOKUP(N1,DATABASE!A1:I999,4,FALSE)," - UA")</f>
        <v>PAMUGAS, MARK ALFRED - UA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200</v>
      </c>
    </row>
    <row r="3" spans="1:17" x14ac:dyDescent="0.25">
      <c r="A3" s="40" t="s">
        <v>195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201</v>
      </c>
    </row>
    <row r="4" spans="1:17" x14ac:dyDescent="0.25">
      <c r="A4" s="40" t="s">
        <v>196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7" ht="15" customHeight="1" x14ac:dyDescent="0.25">
      <c r="A7" s="31" t="s">
        <v>198</v>
      </c>
      <c r="B7" s="36" t="e">
        <f>VLOOKUP(N1,tblTransaction!B1:J999,4,FALSE)</f>
        <v>#N/A</v>
      </c>
      <c r="C7" s="36"/>
      <c r="D7" s="36"/>
      <c r="E7" s="36"/>
      <c r="F7" s="30"/>
      <c r="G7" s="30"/>
      <c r="H7" t="s">
        <v>191</v>
      </c>
      <c r="J7" s="34" t="str">
        <f>VLOOKUP(N1,DATABASE!A1:I999,2,FALSE)</f>
        <v>ML-000001</v>
      </c>
      <c r="K7" s="34"/>
    </row>
    <row r="8" spans="1:17" ht="15" customHeight="1" x14ac:dyDescent="0.25">
      <c r="A8" t="s">
        <v>1</v>
      </c>
      <c r="B8" s="34">
        <f ca="1">VLOOKUP(N1,DATABASE!A1:I999,6,FALSE)</f>
        <v>27</v>
      </c>
      <c r="C8" s="34"/>
      <c r="D8" s="34"/>
      <c r="E8" s="34"/>
      <c r="F8" s="28"/>
      <c r="G8" s="28"/>
      <c r="H8" s="35" t="s">
        <v>35</v>
      </c>
      <c r="I8" s="35"/>
      <c r="J8" s="34" t="str">
        <f>VLOOKUP(N1,DATABASE!A1:I999,7,FALSE)</f>
        <v>MALE</v>
      </c>
      <c r="K8" s="34"/>
      <c r="L8" s="15"/>
    </row>
    <row r="9" spans="1:17" ht="15" customHeight="1" x14ac:dyDescent="0.25">
      <c r="A9" t="s">
        <v>199</v>
      </c>
      <c r="B9" s="37" t="str">
        <f>TEXT(VLOOKUP(N1,DATABASE!A1:I999,5,FALSE),"mmmm d, yyyy")</f>
        <v>July 3, 1997</v>
      </c>
      <c r="C9" s="37"/>
      <c r="D9" s="37"/>
      <c r="E9" s="37"/>
      <c r="F9" s="28"/>
      <c r="G9" s="28"/>
      <c r="H9" t="s">
        <v>34</v>
      </c>
      <c r="J9" s="34" t="str">
        <f>IFERROR(IF(VLOOKUP(N2,DATABASE!A2:I1000,9,FALSE)=0,"",VLOOKUP(N2,DATABASE!A2:I1000,9,FALSE)),"")</f>
        <v/>
      </c>
      <c r="K9" s="34"/>
      <c r="L9" s="15"/>
    </row>
    <row r="10" spans="1:17" x14ac:dyDescent="0.25">
      <c r="A10" t="s">
        <v>0</v>
      </c>
      <c r="B10" s="34" t="str">
        <f>VLOOKUP(N1,DATABASE!A1:I999,8,FALSE)</f>
        <v>MANILA</v>
      </c>
      <c r="C10" s="34"/>
      <c r="D10" s="34"/>
      <c r="E10" s="34"/>
      <c r="H10" t="s">
        <v>36</v>
      </c>
      <c r="J10" s="29" t="str">
        <f>TEXT(VLOOKUP(N1,DATABASE!A1:I999,3,FALSE),"mmmm d, yyyy")</f>
        <v>April 24, 2025</v>
      </c>
      <c r="K10" s="16"/>
    </row>
    <row r="12" spans="1:17" ht="6" customHeight="1" x14ac:dyDescent="0.25"/>
    <row r="13" spans="1:17" ht="31.5" x14ac:dyDescent="0.5">
      <c r="A13" s="47" t="s">
        <v>52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46" t="s">
        <v>37</v>
      </c>
      <c r="B16" s="40"/>
      <c r="C16" s="40"/>
      <c r="D16" s="40"/>
      <c r="E16" s="40"/>
      <c r="F16" s="1"/>
      <c r="G16" s="40" t="s">
        <v>4</v>
      </c>
      <c r="H16" s="40"/>
      <c r="I16" s="40"/>
      <c r="J16" s="40"/>
      <c r="K16" s="24"/>
    </row>
    <row r="17" spans="1:11" x14ac:dyDescent="0.25">
      <c r="A17" s="43" t="s">
        <v>38</v>
      </c>
      <c r="B17" s="44"/>
      <c r="C17" s="44"/>
      <c r="D17" s="44"/>
      <c r="E17" s="44"/>
      <c r="G17" s="45"/>
      <c r="H17" s="45"/>
      <c r="I17" s="45"/>
      <c r="J17" s="45"/>
      <c r="K17" s="7"/>
    </row>
    <row r="18" spans="1:11" x14ac:dyDescent="0.25">
      <c r="A18" s="6"/>
      <c r="K18" s="7"/>
    </row>
    <row r="19" spans="1:11" x14ac:dyDescent="0.25">
      <c r="A19" s="43" t="s">
        <v>39</v>
      </c>
      <c r="B19" s="44"/>
      <c r="C19" s="44"/>
      <c r="D19" s="44"/>
      <c r="E19" s="44"/>
      <c r="G19" s="45"/>
      <c r="H19" s="45"/>
      <c r="I19" s="45"/>
      <c r="J19" s="45"/>
      <c r="K19" s="7"/>
    </row>
    <row r="20" spans="1:11" x14ac:dyDescent="0.25">
      <c r="A20" s="43" t="s">
        <v>40</v>
      </c>
      <c r="B20" s="44"/>
      <c r="C20" s="44"/>
      <c r="D20" s="44"/>
      <c r="E20" s="44"/>
      <c r="G20" s="45"/>
      <c r="H20" s="45"/>
      <c r="I20" s="45"/>
      <c r="J20" s="45"/>
      <c r="K20" s="7"/>
    </row>
    <row r="21" spans="1:11" x14ac:dyDescent="0.25">
      <c r="A21" s="43" t="s">
        <v>41</v>
      </c>
      <c r="B21" s="44"/>
      <c r="C21" s="44"/>
      <c r="D21" s="44"/>
      <c r="E21" s="44"/>
      <c r="G21" s="45"/>
      <c r="H21" s="45"/>
      <c r="I21" s="45"/>
      <c r="J21" s="45"/>
      <c r="K21" s="7"/>
    </row>
    <row r="22" spans="1:11" x14ac:dyDescent="0.25">
      <c r="A22" s="6"/>
      <c r="K22" s="7"/>
    </row>
    <row r="23" spans="1:11" x14ac:dyDescent="0.25">
      <c r="A23" s="46" t="s">
        <v>42</v>
      </c>
      <c r="B23" s="40"/>
      <c r="C23" s="40"/>
      <c r="D23" s="40"/>
      <c r="E23" s="40"/>
      <c r="K23" s="7"/>
    </row>
    <row r="24" spans="1:11" x14ac:dyDescent="0.25">
      <c r="A24" s="43" t="s">
        <v>43</v>
      </c>
      <c r="B24" s="44"/>
      <c r="C24" s="44"/>
      <c r="D24" s="44"/>
      <c r="E24" s="44"/>
      <c r="G24" s="45"/>
      <c r="H24" s="45"/>
      <c r="I24" s="45"/>
      <c r="J24" s="45"/>
      <c r="K24" s="7"/>
    </row>
    <row r="25" spans="1:11" x14ac:dyDescent="0.25">
      <c r="A25" s="43" t="s">
        <v>44</v>
      </c>
      <c r="B25" s="44"/>
      <c r="C25" s="44"/>
      <c r="D25" s="44"/>
      <c r="E25" s="44"/>
      <c r="G25" s="45"/>
      <c r="H25" s="45"/>
      <c r="I25" s="45"/>
      <c r="J25" s="45"/>
      <c r="K25" s="7"/>
    </row>
    <row r="26" spans="1:11" x14ac:dyDescent="0.25">
      <c r="A26" s="6"/>
      <c r="K26" s="7"/>
    </row>
    <row r="27" spans="1:11" x14ac:dyDescent="0.25">
      <c r="A27" s="46" t="s">
        <v>45</v>
      </c>
      <c r="B27" s="40"/>
      <c r="C27" s="40"/>
      <c r="D27" s="40"/>
      <c r="E27" s="40"/>
      <c r="K27" s="7"/>
    </row>
    <row r="28" spans="1:11" x14ac:dyDescent="0.25">
      <c r="A28" s="43" t="s">
        <v>46</v>
      </c>
      <c r="B28" s="44"/>
      <c r="C28" s="44"/>
      <c r="D28" s="44"/>
      <c r="E28" s="44"/>
      <c r="G28" s="45"/>
      <c r="H28" s="45"/>
      <c r="I28" s="45"/>
      <c r="J28" s="45"/>
      <c r="K28" s="7"/>
    </row>
    <row r="29" spans="1:11" x14ac:dyDescent="0.25">
      <c r="A29" s="43" t="s">
        <v>47</v>
      </c>
      <c r="B29" s="44"/>
      <c r="C29" s="44"/>
      <c r="D29" s="44"/>
      <c r="E29" s="44"/>
      <c r="G29" s="45"/>
      <c r="H29" s="45"/>
      <c r="I29" s="45"/>
      <c r="J29" s="45"/>
      <c r="K29" s="7"/>
    </row>
    <row r="30" spans="1:11" x14ac:dyDescent="0.25">
      <c r="A30" s="43" t="s">
        <v>48</v>
      </c>
      <c r="B30" s="44"/>
      <c r="C30" s="44"/>
      <c r="D30" s="44"/>
      <c r="E30" s="44"/>
      <c r="G30" s="45"/>
      <c r="H30" s="45"/>
      <c r="I30" s="45"/>
      <c r="J30" s="45"/>
      <c r="K30" s="7"/>
    </row>
    <row r="31" spans="1:11" x14ac:dyDescent="0.25">
      <c r="A31" s="43" t="s">
        <v>49</v>
      </c>
      <c r="B31" s="44"/>
      <c r="C31" s="44"/>
      <c r="D31" s="44"/>
      <c r="E31" s="44"/>
      <c r="G31" s="45"/>
      <c r="H31" s="45"/>
      <c r="I31" s="45"/>
      <c r="J31" s="45"/>
      <c r="K31" s="7"/>
    </row>
    <row r="32" spans="1:11" x14ac:dyDescent="0.25">
      <c r="A32" s="43" t="s">
        <v>50</v>
      </c>
      <c r="B32" s="44"/>
      <c r="C32" s="44"/>
      <c r="D32" s="44"/>
      <c r="E32" s="44"/>
      <c r="G32" s="45"/>
      <c r="H32" s="45"/>
      <c r="I32" s="45"/>
      <c r="J32" s="45"/>
      <c r="K32" s="7"/>
    </row>
    <row r="33" spans="1:11" x14ac:dyDescent="0.25">
      <c r="A33" s="43" t="s">
        <v>51</v>
      </c>
      <c r="B33" s="44"/>
      <c r="C33" s="44"/>
      <c r="D33" s="44"/>
      <c r="E33" s="44"/>
      <c r="G33" s="45"/>
      <c r="H33" s="45"/>
      <c r="I33" s="45"/>
      <c r="J33" s="45"/>
      <c r="K33" s="7"/>
    </row>
    <row r="34" spans="1:11" x14ac:dyDescent="0.25">
      <c r="A34" s="22"/>
      <c r="B34" s="11"/>
      <c r="C34" s="11"/>
      <c r="D34" s="11"/>
      <c r="E34" s="11"/>
      <c r="F34" s="2"/>
      <c r="G34" s="11"/>
      <c r="H34" s="11"/>
      <c r="I34" s="11"/>
      <c r="J34" s="11"/>
      <c r="K34" s="23"/>
    </row>
    <row r="35" spans="1:11" x14ac:dyDescent="0.25">
      <c r="A35" s="26" t="s">
        <v>77</v>
      </c>
    </row>
    <row r="39" spans="1:11" ht="24.75" x14ac:dyDescent="0.5">
      <c r="A39" s="49" t="str">
        <f>$J$10</f>
        <v>April 24, 2025</v>
      </c>
      <c r="B39" s="50"/>
      <c r="C39" s="50"/>
      <c r="D39" s="50"/>
      <c r="E39" s="50"/>
      <c r="G39" s="49" t="str">
        <f>$J$10</f>
        <v>April 24, 2025</v>
      </c>
      <c r="H39" s="50"/>
      <c r="I39" s="50"/>
      <c r="J39" s="50"/>
      <c r="K39" s="50"/>
    </row>
    <row r="40" spans="1:11" ht="15" customHeight="1" x14ac:dyDescent="0.25">
      <c r="A40" s="44" t="s">
        <v>28</v>
      </c>
      <c r="B40" s="44"/>
      <c r="C40" s="44"/>
      <c r="D40" s="44"/>
      <c r="E40" s="44"/>
      <c r="G40" s="44" t="s">
        <v>31</v>
      </c>
      <c r="H40" s="44"/>
      <c r="I40" s="44"/>
      <c r="J40" s="44"/>
      <c r="K40" s="44"/>
    </row>
    <row r="41" spans="1:11" x14ac:dyDescent="0.25">
      <c r="A41" s="48" t="s">
        <v>29</v>
      </c>
      <c r="B41" s="48"/>
      <c r="C41" s="48"/>
      <c r="D41" s="48"/>
      <c r="E41" s="48"/>
      <c r="G41" s="48" t="s">
        <v>32</v>
      </c>
      <c r="H41" s="48"/>
      <c r="I41" s="48"/>
      <c r="J41" s="48"/>
      <c r="K41" s="48"/>
    </row>
    <row r="42" spans="1:11" x14ac:dyDescent="0.25">
      <c r="A42" s="44" t="s">
        <v>30</v>
      </c>
      <c r="B42" s="44"/>
      <c r="C42" s="44"/>
      <c r="D42" s="44"/>
      <c r="E42" s="44"/>
      <c r="G42" s="44" t="s">
        <v>33</v>
      </c>
      <c r="H42" s="44"/>
      <c r="I42" s="44"/>
      <c r="J42" s="44"/>
      <c r="K42" s="44"/>
    </row>
  </sheetData>
  <mergeCells count="51">
    <mergeCell ref="A41:E41"/>
    <mergeCell ref="G41:K41"/>
    <mergeCell ref="A42:E42"/>
    <mergeCell ref="G42:K42"/>
    <mergeCell ref="A33:E33"/>
    <mergeCell ref="G33:J33"/>
    <mergeCell ref="A39:E39"/>
    <mergeCell ref="G39:K39"/>
    <mergeCell ref="A40:E40"/>
    <mergeCell ref="G40:K40"/>
    <mergeCell ref="A16:E16"/>
    <mergeCell ref="G16:J16"/>
    <mergeCell ref="A17:E17"/>
    <mergeCell ref="G17:J17"/>
    <mergeCell ref="A13:K13"/>
    <mergeCell ref="A31:E31"/>
    <mergeCell ref="G31:J31"/>
    <mergeCell ref="A19:E19"/>
    <mergeCell ref="G19:J19"/>
    <mergeCell ref="A20:E20"/>
    <mergeCell ref="G20:J20"/>
    <mergeCell ref="A32:E32"/>
    <mergeCell ref="G32:J32"/>
    <mergeCell ref="A21:E21"/>
    <mergeCell ref="G21:J21"/>
    <mergeCell ref="A23:E23"/>
    <mergeCell ref="A24:E24"/>
    <mergeCell ref="G24:J24"/>
    <mergeCell ref="A25:E25"/>
    <mergeCell ref="G25:J25"/>
    <mergeCell ref="A28:E28"/>
    <mergeCell ref="G28:J28"/>
    <mergeCell ref="A29:E29"/>
    <mergeCell ref="G29:J29"/>
    <mergeCell ref="A27:E27"/>
    <mergeCell ref="A30:E30"/>
    <mergeCell ref="G30:J30"/>
    <mergeCell ref="A1:K1"/>
    <mergeCell ref="A2:K2"/>
    <mergeCell ref="A5:K5"/>
    <mergeCell ref="A6:K6"/>
    <mergeCell ref="J8:K8"/>
    <mergeCell ref="A3:K3"/>
    <mergeCell ref="A4:K4"/>
    <mergeCell ref="B10:E10"/>
    <mergeCell ref="J9:K9"/>
    <mergeCell ref="H8:I8"/>
    <mergeCell ref="B7:E7"/>
    <mergeCell ref="B8:E8"/>
    <mergeCell ref="B9:E9"/>
    <mergeCell ref="J7:K7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C0681-A0F6-48B0-BE09-77D38BC48F1D}">
  <sheetPr codeName="Sheet4">
    <pageSetUpPr fitToPage="1"/>
  </sheetPr>
  <dimension ref="A1:Q40"/>
  <sheetViews>
    <sheetView zoomScaleNormal="100" workbookViewId="0">
      <selection activeCell="N2" sqref="N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N1">
        <v>1</v>
      </c>
      <c r="P1" t="str">
        <f>CONCATENATE(VLOOKUP(N1,DATABASE!A1:I999,4,FALSE)," - CBC")</f>
        <v>PAMUGAS, MARK ALFRED - CBC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200</v>
      </c>
    </row>
    <row r="3" spans="1:17" x14ac:dyDescent="0.25">
      <c r="A3" s="40" t="s">
        <v>195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201</v>
      </c>
    </row>
    <row r="4" spans="1:17" x14ac:dyDescent="0.25">
      <c r="A4" s="40" t="s">
        <v>196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7" ht="15" customHeight="1" x14ac:dyDescent="0.25">
      <c r="A7" s="31" t="s">
        <v>198</v>
      </c>
      <c r="B7" s="36" t="str">
        <f>VLOOKUP(N1,DATABASE!A1:I999,4,FALSE)</f>
        <v>PAMUGAS, MARK ALFRED</v>
      </c>
      <c r="C7" s="36"/>
      <c r="D7" s="36"/>
      <c r="E7" s="36"/>
      <c r="F7" s="30"/>
      <c r="G7" s="30"/>
      <c r="H7" t="s">
        <v>191</v>
      </c>
      <c r="J7" s="34" t="str">
        <f>VLOOKUP(N1,DATABASE!A1:I999,2,FALSE)</f>
        <v>ML-000001</v>
      </c>
      <c r="K7" s="34"/>
    </row>
    <row r="8" spans="1:17" ht="15" customHeight="1" x14ac:dyDescent="0.25">
      <c r="A8" t="s">
        <v>1</v>
      </c>
      <c r="B8" s="34">
        <f ca="1">VLOOKUP(N1,DATABASE!A1:I999,6,FALSE)</f>
        <v>27</v>
      </c>
      <c r="C8" s="34"/>
      <c r="D8" s="34"/>
      <c r="E8" s="34"/>
      <c r="F8" s="28"/>
      <c r="G8" s="28"/>
      <c r="H8" s="35" t="s">
        <v>35</v>
      </c>
      <c r="I8" s="35"/>
      <c r="J8" s="34" t="str">
        <f>VLOOKUP(N1,DATABASE!A1:I999,7,FALSE)</f>
        <v>MALE</v>
      </c>
      <c r="K8" s="34"/>
      <c r="L8" s="15"/>
    </row>
    <row r="9" spans="1:17" ht="15" customHeight="1" x14ac:dyDescent="0.25">
      <c r="A9" t="s">
        <v>199</v>
      </c>
      <c r="B9" s="37" t="str">
        <f>TEXT(VLOOKUP(N1,DATABASE!A1:I999,5,FALSE),"mmmm d, yyyy")</f>
        <v>July 3, 1997</v>
      </c>
      <c r="C9" s="37"/>
      <c r="D9" s="37"/>
      <c r="E9" s="37"/>
      <c r="F9" s="28"/>
      <c r="G9" s="28"/>
      <c r="H9" t="s">
        <v>34</v>
      </c>
      <c r="J9" s="34" t="str">
        <f>IFERROR(IF(VLOOKUP(N2,DATABASE!A2:I1000,9,FALSE)=0,"",VLOOKUP(N2,DATABASE!A2:I1000,9,FALSE)),"")</f>
        <v/>
      </c>
      <c r="K9" s="34"/>
      <c r="L9" s="15"/>
    </row>
    <row r="10" spans="1:17" x14ac:dyDescent="0.25">
      <c r="A10" t="s">
        <v>0</v>
      </c>
      <c r="B10" s="34" t="str">
        <f>VLOOKUP(N1,DATABASE!A1:I999,8,FALSE)</f>
        <v>MANILA</v>
      </c>
      <c r="C10" s="34"/>
      <c r="D10" s="34"/>
      <c r="E10" s="34"/>
      <c r="H10" t="s">
        <v>36</v>
      </c>
      <c r="J10" s="29" t="str">
        <f>TEXT(VLOOKUP(N1,DATABASE!A1:I999,3,FALSE),"mmmm d, yyyy")</f>
        <v>April 24, 2025</v>
      </c>
      <c r="K10" s="16"/>
    </row>
    <row r="12" spans="1:17" ht="6" customHeight="1" x14ac:dyDescent="0.25"/>
    <row r="13" spans="1:17" ht="31.5" x14ac:dyDescent="0.5">
      <c r="A13" s="47" t="s">
        <v>2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46" t="s">
        <v>3</v>
      </c>
      <c r="B16" s="40"/>
      <c r="C16" s="40"/>
      <c r="E16" s="40" t="s">
        <v>4</v>
      </c>
      <c r="F16" s="40"/>
      <c r="G16" s="40"/>
      <c r="H16" s="16"/>
      <c r="I16" s="40" t="s">
        <v>27</v>
      </c>
      <c r="J16" s="40"/>
      <c r="K16" s="56"/>
    </row>
    <row r="17" spans="1:11" x14ac:dyDescent="0.25">
      <c r="A17" s="21" t="s">
        <v>9</v>
      </c>
      <c r="B17" s="17"/>
      <c r="E17" s="45"/>
      <c r="F17" s="45"/>
      <c r="G17" s="45"/>
      <c r="H17" s="14"/>
      <c r="I17" s="51" t="s">
        <v>8</v>
      </c>
      <c r="J17" s="51"/>
      <c r="K17" s="52"/>
    </row>
    <row r="18" spans="1:11" x14ac:dyDescent="0.25">
      <c r="A18" s="21"/>
      <c r="B18" s="17"/>
      <c r="I18" s="51" t="s">
        <v>5</v>
      </c>
      <c r="J18" s="51"/>
      <c r="K18" s="52"/>
    </row>
    <row r="19" spans="1:11" x14ac:dyDescent="0.25">
      <c r="A19" s="21" t="s">
        <v>11</v>
      </c>
      <c r="B19" s="17"/>
      <c r="E19" s="45"/>
      <c r="F19" s="45"/>
      <c r="G19" s="45"/>
      <c r="H19" s="14"/>
      <c r="I19" s="51" t="s">
        <v>10</v>
      </c>
      <c r="J19" s="51"/>
      <c r="K19" s="52"/>
    </row>
    <row r="20" spans="1:11" x14ac:dyDescent="0.25">
      <c r="A20" s="21"/>
      <c r="B20" s="17"/>
      <c r="I20" s="51" t="s">
        <v>6</v>
      </c>
      <c r="J20" s="51"/>
      <c r="K20" s="52"/>
    </row>
    <row r="21" spans="1:11" x14ac:dyDescent="0.25">
      <c r="A21" s="21" t="s">
        <v>13</v>
      </c>
      <c r="B21" s="17"/>
      <c r="E21" s="45"/>
      <c r="F21" s="45"/>
      <c r="G21" s="45"/>
      <c r="H21" s="14"/>
      <c r="I21" s="51" t="s">
        <v>12</v>
      </c>
      <c r="J21" s="51"/>
      <c r="K21" s="52"/>
    </row>
    <row r="22" spans="1:11" x14ac:dyDescent="0.25">
      <c r="A22" s="21"/>
      <c r="B22" s="17"/>
      <c r="I22" s="51" t="s">
        <v>7</v>
      </c>
      <c r="J22" s="51"/>
      <c r="K22" s="52"/>
    </row>
    <row r="23" spans="1:11" x14ac:dyDescent="0.25">
      <c r="A23" s="21" t="s">
        <v>15</v>
      </c>
      <c r="B23" s="17"/>
      <c r="E23" s="45"/>
      <c r="F23" s="45"/>
      <c r="G23" s="45"/>
      <c r="H23" s="14"/>
      <c r="I23" s="51" t="s">
        <v>14</v>
      </c>
      <c r="J23" s="51"/>
      <c r="K23" s="52"/>
    </row>
    <row r="24" spans="1:11" x14ac:dyDescent="0.25">
      <c r="A24" s="21"/>
      <c r="B24" s="17"/>
      <c r="I24" s="17"/>
      <c r="J24" s="17"/>
      <c r="K24" s="18"/>
    </row>
    <row r="25" spans="1:11" x14ac:dyDescent="0.25">
      <c r="A25" s="21" t="s">
        <v>16</v>
      </c>
      <c r="B25" s="17"/>
      <c r="I25" s="17"/>
      <c r="J25" s="17"/>
      <c r="K25" s="18"/>
    </row>
    <row r="26" spans="1:11" x14ac:dyDescent="0.25">
      <c r="A26" s="21"/>
      <c r="B26" s="17" t="s">
        <v>21</v>
      </c>
      <c r="E26" s="45"/>
      <c r="F26" s="45"/>
      <c r="G26" s="45"/>
      <c r="H26" s="14"/>
      <c r="I26" s="44" t="s">
        <v>17</v>
      </c>
      <c r="J26" s="44"/>
      <c r="K26" s="57"/>
    </row>
    <row r="27" spans="1:11" x14ac:dyDescent="0.25">
      <c r="A27" s="21"/>
      <c r="B27" s="17" t="s">
        <v>22</v>
      </c>
      <c r="E27" s="53"/>
      <c r="F27" s="53"/>
      <c r="G27" s="53"/>
      <c r="H27" s="14"/>
      <c r="I27" s="44" t="s">
        <v>18</v>
      </c>
      <c r="J27" s="44"/>
      <c r="K27" s="57"/>
    </row>
    <row r="28" spans="1:11" x14ac:dyDescent="0.25">
      <c r="A28" s="21"/>
      <c r="B28" s="17" t="s">
        <v>23</v>
      </c>
      <c r="E28" s="53"/>
      <c r="F28" s="53"/>
      <c r="G28" s="53"/>
      <c r="H28" s="14"/>
      <c r="I28" s="54" t="s">
        <v>19</v>
      </c>
      <c r="J28" s="54"/>
      <c r="K28" s="55"/>
    </row>
    <row r="29" spans="1:11" x14ac:dyDescent="0.25">
      <c r="A29" s="21"/>
      <c r="B29" s="17" t="s">
        <v>20</v>
      </c>
      <c r="E29" s="53"/>
      <c r="F29" s="53"/>
      <c r="G29" s="53"/>
      <c r="H29" s="14"/>
      <c r="I29" s="54" t="s">
        <v>24</v>
      </c>
      <c r="J29" s="54"/>
      <c r="K29" s="55"/>
    </row>
    <row r="30" spans="1:11" x14ac:dyDescent="0.25">
      <c r="A30" s="6"/>
      <c r="I30" s="17"/>
      <c r="J30" s="17"/>
      <c r="K30" s="18"/>
    </row>
    <row r="31" spans="1:11" x14ac:dyDescent="0.25">
      <c r="A31" s="21" t="s">
        <v>25</v>
      </c>
      <c r="E31" s="45"/>
      <c r="F31" s="45"/>
      <c r="G31" s="45"/>
      <c r="H31" s="14"/>
      <c r="I31" s="51" t="s">
        <v>26</v>
      </c>
      <c r="J31" s="51"/>
      <c r="K31" s="52"/>
    </row>
    <row r="32" spans="1:11" x14ac:dyDescent="0.25">
      <c r="A32" s="8"/>
      <c r="B32" s="2"/>
      <c r="C32" s="2"/>
      <c r="D32" s="2"/>
      <c r="E32" s="11"/>
      <c r="F32" s="11"/>
      <c r="G32" s="11"/>
      <c r="H32" s="11"/>
      <c r="I32" s="19"/>
      <c r="J32" s="19"/>
      <c r="K32" s="20"/>
    </row>
    <row r="33" spans="1:11" x14ac:dyDescent="0.25">
      <c r="A33" s="26" t="s">
        <v>77</v>
      </c>
    </row>
    <row r="37" spans="1:11" ht="24.75" x14ac:dyDescent="0.5">
      <c r="A37" s="49" t="str">
        <f>$J$10</f>
        <v>April 24, 2025</v>
      </c>
      <c r="B37" s="50"/>
      <c r="C37" s="50"/>
      <c r="D37" s="50"/>
      <c r="E37" s="50"/>
      <c r="G37" s="49" t="str">
        <f>$J$10</f>
        <v>April 24, 2025</v>
      </c>
      <c r="H37" s="50"/>
      <c r="I37" s="50"/>
      <c r="J37" s="50"/>
      <c r="K37" s="50"/>
    </row>
    <row r="38" spans="1:11" x14ac:dyDescent="0.25">
      <c r="A38" s="44" t="s">
        <v>28</v>
      </c>
      <c r="B38" s="44"/>
      <c r="C38" s="44"/>
      <c r="D38" s="44"/>
      <c r="E38" s="44"/>
      <c r="G38" s="44" t="s">
        <v>31</v>
      </c>
      <c r="H38" s="44"/>
      <c r="I38" s="44"/>
      <c r="J38" s="44"/>
      <c r="K38" s="44"/>
    </row>
    <row r="39" spans="1:11" x14ac:dyDescent="0.25">
      <c r="A39" s="48" t="s">
        <v>29</v>
      </c>
      <c r="B39" s="48"/>
      <c r="C39" s="48"/>
      <c r="D39" s="48"/>
      <c r="E39" s="48"/>
      <c r="G39" s="48" t="s">
        <v>32</v>
      </c>
      <c r="H39" s="48"/>
      <c r="I39" s="48"/>
      <c r="J39" s="48"/>
      <c r="K39" s="48"/>
    </row>
    <row r="40" spans="1:11" x14ac:dyDescent="0.25">
      <c r="A40" s="44" t="s">
        <v>30</v>
      </c>
      <c r="B40" s="44"/>
      <c r="C40" s="44"/>
      <c r="D40" s="44"/>
      <c r="E40" s="44"/>
      <c r="G40" s="44" t="s">
        <v>33</v>
      </c>
      <c r="H40" s="44"/>
      <c r="I40" s="44"/>
      <c r="J40" s="44"/>
      <c r="K40" s="44"/>
    </row>
  </sheetData>
  <mergeCells count="47">
    <mergeCell ref="A40:E40"/>
    <mergeCell ref="G40:K40"/>
    <mergeCell ref="A39:E39"/>
    <mergeCell ref="G39:K39"/>
    <mergeCell ref="E26:G26"/>
    <mergeCell ref="I26:K26"/>
    <mergeCell ref="A37:E37"/>
    <mergeCell ref="G37:K37"/>
    <mergeCell ref="A38:E38"/>
    <mergeCell ref="G38:K38"/>
    <mergeCell ref="E27:G27"/>
    <mergeCell ref="I27:K27"/>
    <mergeCell ref="A16:C16"/>
    <mergeCell ref="E16:G16"/>
    <mergeCell ref="I16:K16"/>
    <mergeCell ref="E17:G17"/>
    <mergeCell ref="I17:K17"/>
    <mergeCell ref="I18:K18"/>
    <mergeCell ref="E19:G19"/>
    <mergeCell ref="I19:K19"/>
    <mergeCell ref="I20:K20"/>
    <mergeCell ref="E21:G21"/>
    <mergeCell ref="I21:K21"/>
    <mergeCell ref="I22:K22"/>
    <mergeCell ref="E23:G23"/>
    <mergeCell ref="I23:K23"/>
    <mergeCell ref="E31:G31"/>
    <mergeCell ref="I31:K31"/>
    <mergeCell ref="E28:G28"/>
    <mergeCell ref="I28:K28"/>
    <mergeCell ref="E29:G29"/>
    <mergeCell ref="I29:K29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6:K6"/>
    <mergeCell ref="A1:K1"/>
    <mergeCell ref="A2:K2"/>
    <mergeCell ref="A3:K3"/>
    <mergeCell ref="A4:K4"/>
    <mergeCell ref="A5:K5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AB2F-AD97-44B6-9BC1-B0217E770513}">
  <sheetPr codeName="Sheet5">
    <pageSetUpPr fitToPage="1"/>
  </sheetPr>
  <dimension ref="A1:Q36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N1">
        <v>1</v>
      </c>
      <c r="P1" t="str">
        <f>CONCATENATE(VLOOKUP(N1,DATABASE!A1:I999,4,FALSE)," - FECA")</f>
        <v>PAMUGAS, MARK ALFRED - FECA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200</v>
      </c>
    </row>
    <row r="3" spans="1:17" x14ac:dyDescent="0.25">
      <c r="A3" s="40" t="s">
        <v>195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201</v>
      </c>
    </row>
    <row r="4" spans="1:17" x14ac:dyDescent="0.25">
      <c r="A4" s="40" t="s">
        <v>196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7" ht="15" customHeight="1" x14ac:dyDescent="0.25">
      <c r="A7" s="31" t="s">
        <v>198</v>
      </c>
      <c r="B7" s="36" t="str">
        <f>VLOOKUP(N1,DATABASE!A1:I999,4,FALSE)</f>
        <v>PAMUGAS, MARK ALFRED</v>
      </c>
      <c r="C7" s="36"/>
      <c r="D7" s="36"/>
      <c r="E7" s="36"/>
      <c r="F7" s="30"/>
      <c r="G7" s="30"/>
      <c r="H7" t="s">
        <v>191</v>
      </c>
      <c r="J7" s="34" t="str">
        <f>VLOOKUP(N1,DATABASE!A1:I999,2,FALSE)</f>
        <v>ML-000001</v>
      </c>
      <c r="K7" s="34"/>
    </row>
    <row r="8" spans="1:17" ht="15" customHeight="1" x14ac:dyDescent="0.25">
      <c r="A8" t="s">
        <v>1</v>
      </c>
      <c r="B8" s="34">
        <f ca="1">VLOOKUP(N1,DATABASE!A1:I999,6,FALSE)</f>
        <v>27</v>
      </c>
      <c r="C8" s="34"/>
      <c r="D8" s="34"/>
      <c r="E8" s="34"/>
      <c r="F8" s="28"/>
      <c r="G8" s="28"/>
      <c r="H8" s="35" t="s">
        <v>35</v>
      </c>
      <c r="I8" s="35"/>
      <c r="J8" s="34" t="str">
        <f>VLOOKUP(N1,DATABASE!A1:I999,7,FALSE)</f>
        <v>MALE</v>
      </c>
      <c r="K8" s="34"/>
      <c r="L8" s="15"/>
    </row>
    <row r="9" spans="1:17" ht="15" customHeight="1" x14ac:dyDescent="0.25">
      <c r="A9" t="s">
        <v>199</v>
      </c>
      <c r="B9" s="37" t="str">
        <f>TEXT(VLOOKUP(N1,DATABASE!A1:I999,5,FALSE),"mmmm d, yyyy")</f>
        <v>July 3, 1997</v>
      </c>
      <c r="C9" s="37"/>
      <c r="D9" s="37"/>
      <c r="E9" s="37"/>
      <c r="F9" s="28"/>
      <c r="G9" s="28"/>
      <c r="H9" t="s">
        <v>34</v>
      </c>
      <c r="J9" s="34" t="str">
        <f>IFERROR(IF(VLOOKUP(N2,DATABASE!A2:I1000,9,FALSE)=0,"",VLOOKUP(N2,DATABASE!A2:I1000,9,FALSE)),"")</f>
        <v/>
      </c>
      <c r="K9" s="34"/>
      <c r="L9" s="15"/>
    </row>
    <row r="10" spans="1:17" x14ac:dyDescent="0.25">
      <c r="A10" t="s">
        <v>0</v>
      </c>
      <c r="B10" s="34" t="str">
        <f>VLOOKUP(N1,DATABASE!A1:I999,8,FALSE)</f>
        <v>MANILA</v>
      </c>
      <c r="C10" s="34"/>
      <c r="D10" s="34"/>
      <c r="E10" s="34"/>
      <c r="H10" t="s">
        <v>36</v>
      </c>
      <c r="J10" s="29" t="str">
        <f>TEXT(VLOOKUP(N1,DATABASE!A1:I999,3,FALSE),"mmmm d, yyyy")</f>
        <v>April 24, 2025</v>
      </c>
      <c r="K10" s="16"/>
    </row>
    <row r="12" spans="1:17" ht="6" customHeight="1" x14ac:dyDescent="0.25"/>
    <row r="13" spans="1:17" ht="31.5" x14ac:dyDescent="0.5">
      <c r="A13" s="47" t="s">
        <v>54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46" t="s">
        <v>55</v>
      </c>
      <c r="B16" s="40"/>
      <c r="C16" s="40"/>
      <c r="D16" s="40"/>
      <c r="E16" s="40"/>
      <c r="F16" s="1"/>
      <c r="G16" s="40" t="s">
        <v>53</v>
      </c>
      <c r="H16" s="40"/>
      <c r="I16" s="40"/>
      <c r="J16" s="40"/>
      <c r="K16" s="24"/>
    </row>
    <row r="17" spans="1:11" x14ac:dyDescent="0.25">
      <c r="A17" s="43" t="s">
        <v>38</v>
      </c>
      <c r="B17" s="44"/>
      <c r="C17" s="44"/>
      <c r="D17" s="44"/>
      <c r="E17" s="44"/>
      <c r="G17" s="2"/>
      <c r="H17" s="2"/>
      <c r="I17" s="2"/>
      <c r="J17" s="2"/>
      <c r="K17" s="7"/>
    </row>
    <row r="18" spans="1:11" x14ac:dyDescent="0.25">
      <c r="A18" s="6"/>
      <c r="K18" s="7"/>
    </row>
    <row r="19" spans="1:11" x14ac:dyDescent="0.25">
      <c r="A19" s="43" t="s">
        <v>56</v>
      </c>
      <c r="B19" s="44"/>
      <c r="C19" s="44"/>
      <c r="D19" s="44"/>
      <c r="E19" s="44"/>
      <c r="G19" s="2"/>
      <c r="H19" s="2"/>
      <c r="I19" s="2"/>
      <c r="J19" s="2"/>
      <c r="K19" s="7"/>
    </row>
    <row r="20" spans="1:11" x14ac:dyDescent="0.25">
      <c r="A20" s="12"/>
      <c r="B20" s="14"/>
      <c r="C20" s="14"/>
      <c r="D20" s="14"/>
      <c r="E20" s="14"/>
      <c r="K20" s="7"/>
    </row>
    <row r="21" spans="1:11" x14ac:dyDescent="0.25">
      <c r="A21" s="12"/>
      <c r="B21" s="14"/>
      <c r="C21" s="14"/>
      <c r="D21" s="14"/>
      <c r="E21" s="14"/>
      <c r="G21" s="14"/>
      <c r="H21" s="14"/>
      <c r="I21" s="14"/>
      <c r="J21" s="14"/>
      <c r="K21" s="13"/>
    </row>
    <row r="22" spans="1:11" x14ac:dyDescent="0.25">
      <c r="A22" s="6"/>
      <c r="K22" s="7"/>
    </row>
    <row r="23" spans="1:11" x14ac:dyDescent="0.25">
      <c r="A23" s="46" t="s">
        <v>45</v>
      </c>
      <c r="B23" s="40"/>
      <c r="C23" s="40"/>
      <c r="D23" s="40"/>
      <c r="E23" s="40"/>
      <c r="K23" s="7"/>
    </row>
    <row r="24" spans="1:11" x14ac:dyDescent="0.25">
      <c r="A24" s="43" t="s">
        <v>46</v>
      </c>
      <c r="B24" s="44"/>
      <c r="C24" s="44"/>
      <c r="D24" s="44"/>
      <c r="E24" s="44"/>
      <c r="G24" s="2"/>
      <c r="H24" s="2"/>
      <c r="I24" s="2"/>
      <c r="J24" s="2"/>
      <c r="K24" s="7"/>
    </row>
    <row r="25" spans="1:11" x14ac:dyDescent="0.25">
      <c r="A25" s="43" t="s">
        <v>47</v>
      </c>
      <c r="B25" s="44"/>
      <c r="C25" s="44"/>
      <c r="D25" s="44"/>
      <c r="E25" s="44"/>
      <c r="G25" s="2"/>
      <c r="H25" s="2"/>
      <c r="I25" s="2"/>
      <c r="J25" s="2"/>
      <c r="K25" s="7"/>
    </row>
    <row r="26" spans="1:11" x14ac:dyDescent="0.25">
      <c r="A26" s="12"/>
      <c r="B26" s="14"/>
      <c r="C26" s="14"/>
      <c r="D26" s="14"/>
      <c r="E26" s="14"/>
      <c r="G26" s="14"/>
      <c r="H26" s="14"/>
      <c r="I26" s="14"/>
      <c r="J26" s="14"/>
      <c r="K26" s="13"/>
    </row>
    <row r="27" spans="1:11" x14ac:dyDescent="0.25">
      <c r="A27" s="58" t="s">
        <v>57</v>
      </c>
      <c r="B27" s="51"/>
      <c r="C27" s="51"/>
      <c r="D27" s="51"/>
      <c r="E27" s="51"/>
      <c r="F27" s="51"/>
      <c r="G27" s="51"/>
      <c r="H27" s="51"/>
      <c r="I27" s="51"/>
      <c r="J27" s="51"/>
      <c r="K27" s="52"/>
    </row>
    <row r="28" spans="1:11" x14ac:dyDescent="0.25">
      <c r="A28" s="8"/>
      <c r="B28" s="2"/>
      <c r="C28" s="2"/>
      <c r="D28" s="2"/>
      <c r="E28" s="2"/>
      <c r="F28" s="2"/>
      <c r="G28" s="2"/>
      <c r="H28" s="2"/>
      <c r="I28" s="2"/>
      <c r="J28" s="2"/>
      <c r="K28" s="9"/>
    </row>
    <row r="29" spans="1:11" x14ac:dyDescent="0.25">
      <c r="A29" s="26" t="s">
        <v>77</v>
      </c>
    </row>
    <row r="33" spans="1:11" ht="24.75" x14ac:dyDescent="0.5">
      <c r="A33" s="49" t="str">
        <f>$J$10</f>
        <v>April 24, 2025</v>
      </c>
      <c r="B33" s="50"/>
      <c r="C33" s="50"/>
      <c r="D33" s="50"/>
      <c r="E33" s="50"/>
      <c r="G33" s="49" t="str">
        <f>$J$10</f>
        <v>April 24, 2025</v>
      </c>
      <c r="H33" s="50"/>
      <c r="I33" s="50"/>
      <c r="J33" s="50"/>
      <c r="K33" s="50"/>
    </row>
    <row r="34" spans="1:11" x14ac:dyDescent="0.25">
      <c r="A34" s="44" t="s">
        <v>28</v>
      </c>
      <c r="B34" s="44"/>
      <c r="C34" s="44"/>
      <c r="D34" s="44"/>
      <c r="E34" s="44"/>
      <c r="G34" s="44" t="s">
        <v>31</v>
      </c>
      <c r="H34" s="44"/>
      <c r="I34" s="44"/>
      <c r="J34" s="44"/>
      <c r="K34" s="44"/>
    </row>
    <row r="35" spans="1:11" x14ac:dyDescent="0.25">
      <c r="A35" s="48" t="s">
        <v>29</v>
      </c>
      <c r="B35" s="48"/>
      <c r="C35" s="48"/>
      <c r="D35" s="48"/>
      <c r="E35" s="48"/>
      <c r="G35" s="48" t="s">
        <v>32</v>
      </c>
      <c r="H35" s="48"/>
      <c r="I35" s="48"/>
      <c r="J35" s="48"/>
      <c r="K35" s="48"/>
    </row>
    <row r="36" spans="1:11" x14ac:dyDescent="0.25">
      <c r="A36" s="44" t="s">
        <v>30</v>
      </c>
      <c r="B36" s="44"/>
      <c r="C36" s="44"/>
      <c r="D36" s="44"/>
      <c r="E36" s="44"/>
      <c r="G36" s="44" t="s">
        <v>33</v>
      </c>
      <c r="H36" s="44"/>
      <c r="I36" s="44"/>
      <c r="J36" s="44"/>
      <c r="K36" s="44"/>
    </row>
  </sheetData>
  <mergeCells count="31">
    <mergeCell ref="A36:E36"/>
    <mergeCell ref="G36:K36"/>
    <mergeCell ref="A16:E16"/>
    <mergeCell ref="G16:J16"/>
    <mergeCell ref="A17:E17"/>
    <mergeCell ref="A19:E19"/>
    <mergeCell ref="A23:E23"/>
    <mergeCell ref="A24:E24"/>
    <mergeCell ref="A25:E25"/>
    <mergeCell ref="A27:K27"/>
    <mergeCell ref="A33:E33"/>
    <mergeCell ref="G33:K33"/>
    <mergeCell ref="A34:E34"/>
    <mergeCell ref="G34:K34"/>
    <mergeCell ref="A35:E35"/>
    <mergeCell ref="G35:K3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6:K6"/>
    <mergeCell ref="A1:K1"/>
    <mergeCell ref="A2:K2"/>
    <mergeCell ref="A3:K3"/>
    <mergeCell ref="A4:K4"/>
    <mergeCell ref="A5:K5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A5DA8-A752-4B5A-987C-BB9C9B0C4F40}">
  <sheetPr codeName="Sheet6">
    <pageSetUpPr fitToPage="1"/>
  </sheetPr>
  <dimension ref="A1:Q35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N1">
        <v>1</v>
      </c>
      <c r="P1" t="str">
        <f>CONCATENATE(VLOOKUP(N1,DATABASE!A1:I999,4,FALSE)," - PT")</f>
        <v>PAMUGAS, MARK ALFRED - PT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200</v>
      </c>
    </row>
    <row r="3" spans="1:17" x14ac:dyDescent="0.25">
      <c r="A3" s="40" t="s">
        <v>195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201</v>
      </c>
    </row>
    <row r="4" spans="1:17" x14ac:dyDescent="0.25">
      <c r="A4" s="40" t="s">
        <v>196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7" ht="15" customHeight="1" x14ac:dyDescent="0.25">
      <c r="A7" s="31" t="s">
        <v>198</v>
      </c>
      <c r="B7" s="36" t="str">
        <f>VLOOKUP(N1,DATABASE!A1:I999,4,FALSE)</f>
        <v>PAMUGAS, MARK ALFRED</v>
      </c>
      <c r="C7" s="36"/>
      <c r="D7" s="36"/>
      <c r="E7" s="36"/>
      <c r="F7" s="30"/>
      <c r="G7" s="30"/>
      <c r="H7" t="s">
        <v>191</v>
      </c>
      <c r="J7" s="34" t="str">
        <f>VLOOKUP(N1,DATABASE!A1:I999,2,FALSE)</f>
        <v>ML-000001</v>
      </c>
      <c r="K7" s="34"/>
    </row>
    <row r="8" spans="1:17" ht="15" customHeight="1" x14ac:dyDescent="0.25">
      <c r="A8" t="s">
        <v>1</v>
      </c>
      <c r="B8" s="34">
        <f ca="1">VLOOKUP(N1,DATABASE!A1:I999,6,FALSE)</f>
        <v>27</v>
      </c>
      <c r="C8" s="34"/>
      <c r="D8" s="34"/>
      <c r="E8" s="34"/>
      <c r="F8" s="28"/>
      <c r="G8" s="28"/>
      <c r="H8" s="35" t="s">
        <v>35</v>
      </c>
      <c r="I8" s="35"/>
      <c r="J8" s="34" t="str">
        <f>VLOOKUP(N1,DATABASE!A1:I999,7,FALSE)</f>
        <v>MALE</v>
      </c>
      <c r="K8" s="34"/>
      <c r="L8" s="15"/>
    </row>
    <row r="9" spans="1:17" ht="15" customHeight="1" x14ac:dyDescent="0.25">
      <c r="A9" t="s">
        <v>199</v>
      </c>
      <c r="B9" s="37" t="str">
        <f>TEXT(VLOOKUP(N1,DATABASE!A1:I999,5,FALSE),"mmmm d, yyyy")</f>
        <v>July 3, 1997</v>
      </c>
      <c r="C9" s="37"/>
      <c r="D9" s="37"/>
      <c r="E9" s="37"/>
      <c r="F9" s="28"/>
      <c r="G9" s="28"/>
      <c r="H9" t="s">
        <v>34</v>
      </c>
      <c r="J9" s="34" t="str">
        <f>IFERROR(IF(VLOOKUP(N2,DATABASE!A2:I1000,9,FALSE)=0,"",VLOOKUP(N2,DATABASE!A2:I1000,9,FALSE)),"")</f>
        <v/>
      </c>
      <c r="K9" s="34"/>
      <c r="L9" s="15"/>
    </row>
    <row r="10" spans="1:17" x14ac:dyDescent="0.25">
      <c r="A10" t="s">
        <v>0</v>
      </c>
      <c r="B10" s="34" t="str">
        <f>VLOOKUP(N1,DATABASE!A1:I999,8,FALSE)</f>
        <v>MANILA</v>
      </c>
      <c r="C10" s="34"/>
      <c r="D10" s="34"/>
      <c r="E10" s="34"/>
      <c r="H10" t="s">
        <v>36</v>
      </c>
      <c r="J10" s="29" t="str">
        <f>TEXT(VLOOKUP(N1,DATABASE!A1:I999,3,FALSE),"mmmm d, yyyy")</f>
        <v>April 24, 2025</v>
      </c>
      <c r="K10" s="16"/>
    </row>
    <row r="12" spans="1:17" ht="6" customHeight="1" x14ac:dyDescent="0.25"/>
    <row r="13" spans="1:17" ht="31.5" x14ac:dyDescent="0.5">
      <c r="A13" s="47" t="s">
        <v>70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21" t="s">
        <v>71</v>
      </c>
      <c r="F17" s="1"/>
      <c r="K17" s="7"/>
    </row>
    <row r="18" spans="1:11" x14ac:dyDescent="0.25">
      <c r="A18" s="21" t="s">
        <v>72</v>
      </c>
      <c r="K18" s="7"/>
    </row>
    <row r="19" spans="1:11" x14ac:dyDescent="0.25">
      <c r="A19" s="6"/>
      <c r="K19" s="7"/>
    </row>
    <row r="20" spans="1:11" x14ac:dyDescent="0.25">
      <c r="A20" s="6"/>
      <c r="K20" s="7"/>
    </row>
    <row r="21" spans="1:11" x14ac:dyDescent="0.25">
      <c r="A21" s="46" t="s">
        <v>3</v>
      </c>
      <c r="B21" s="40"/>
      <c r="C21" s="40"/>
      <c r="D21" s="40"/>
      <c r="E21" s="40"/>
      <c r="F21" s="1"/>
      <c r="G21" s="40" t="s">
        <v>4</v>
      </c>
      <c r="H21" s="40"/>
      <c r="I21" s="40"/>
      <c r="J21" s="40"/>
      <c r="K21" s="24"/>
    </row>
    <row r="22" spans="1:11" x14ac:dyDescent="0.25">
      <c r="A22" s="12"/>
      <c r="B22" s="14"/>
      <c r="C22" s="14"/>
      <c r="D22" s="14"/>
      <c r="E22" s="14"/>
      <c r="K22" s="7"/>
    </row>
    <row r="23" spans="1:11" ht="18.75" x14ac:dyDescent="0.3">
      <c r="A23" s="59" t="s">
        <v>73</v>
      </c>
      <c r="B23" s="60"/>
      <c r="C23" s="60"/>
      <c r="D23" s="60"/>
      <c r="E23" s="60"/>
      <c r="F23" s="25"/>
      <c r="G23" s="61" t="s">
        <v>75</v>
      </c>
      <c r="H23" s="61"/>
      <c r="I23" s="61"/>
      <c r="J23" s="61"/>
      <c r="K23" s="7"/>
    </row>
    <row r="24" spans="1:11" x14ac:dyDescent="0.25">
      <c r="A24" s="43" t="s">
        <v>74</v>
      </c>
      <c r="B24" s="44"/>
      <c r="C24" s="44"/>
      <c r="D24" s="44"/>
      <c r="E24" s="44"/>
      <c r="I24" t="s">
        <v>76</v>
      </c>
      <c r="K24" s="7"/>
    </row>
    <row r="25" spans="1:11" x14ac:dyDescent="0.25">
      <c r="A25" s="12"/>
      <c r="B25" s="14"/>
      <c r="C25" s="14"/>
      <c r="D25" s="14"/>
      <c r="E25" s="14"/>
      <c r="K25" s="7"/>
    </row>
    <row r="26" spans="1:11" x14ac:dyDescent="0.25">
      <c r="A26" s="12"/>
      <c r="B26" s="14"/>
      <c r="C26" s="14"/>
      <c r="D26" s="14"/>
      <c r="E26" s="14"/>
      <c r="K26" s="7"/>
    </row>
    <row r="27" spans="1:11" x14ac:dyDescent="0.25">
      <c r="A27" s="22"/>
      <c r="B27" s="11"/>
      <c r="C27" s="11"/>
      <c r="D27" s="11"/>
      <c r="E27" s="11"/>
      <c r="F27" s="2"/>
      <c r="G27" s="2"/>
      <c r="H27" s="2"/>
      <c r="I27" s="2"/>
      <c r="J27" s="2"/>
      <c r="K27" s="9"/>
    </row>
    <row r="28" spans="1:11" x14ac:dyDescent="0.25">
      <c r="A28" s="26" t="s">
        <v>77</v>
      </c>
    </row>
    <row r="32" spans="1:11" ht="24.75" x14ac:dyDescent="0.5">
      <c r="A32" s="49" t="str">
        <f>$J$10</f>
        <v>April 24, 2025</v>
      </c>
      <c r="B32" s="50"/>
      <c r="C32" s="50"/>
      <c r="D32" s="50"/>
      <c r="E32" s="50"/>
      <c r="G32" s="49" t="str">
        <f>$J$10</f>
        <v>April 24, 2025</v>
      </c>
      <c r="H32" s="50"/>
      <c r="I32" s="50"/>
      <c r="J32" s="50"/>
      <c r="K32" s="50"/>
    </row>
    <row r="33" spans="1:11" x14ac:dyDescent="0.25">
      <c r="A33" s="44" t="s">
        <v>28</v>
      </c>
      <c r="B33" s="44"/>
      <c r="C33" s="44"/>
      <c r="D33" s="44"/>
      <c r="E33" s="44"/>
      <c r="G33" s="44" t="s">
        <v>31</v>
      </c>
      <c r="H33" s="44"/>
      <c r="I33" s="44"/>
      <c r="J33" s="44"/>
      <c r="K33" s="44"/>
    </row>
    <row r="34" spans="1:11" x14ac:dyDescent="0.25">
      <c r="A34" s="48" t="s">
        <v>29</v>
      </c>
      <c r="B34" s="48"/>
      <c r="C34" s="48"/>
      <c r="D34" s="48"/>
      <c r="E34" s="48"/>
      <c r="G34" s="48" t="s">
        <v>32</v>
      </c>
      <c r="H34" s="48"/>
      <c r="I34" s="48"/>
      <c r="J34" s="48"/>
      <c r="K34" s="48"/>
    </row>
    <row r="35" spans="1:11" x14ac:dyDescent="0.25">
      <c r="A35" s="44" t="s">
        <v>30</v>
      </c>
      <c r="B35" s="44"/>
      <c r="C35" s="44"/>
      <c r="D35" s="44"/>
      <c r="E35" s="44"/>
      <c r="G35" s="44" t="s">
        <v>33</v>
      </c>
      <c r="H35" s="44"/>
      <c r="I35" s="44"/>
      <c r="J35" s="44"/>
      <c r="K35" s="44"/>
    </row>
  </sheetData>
  <mergeCells count="28">
    <mergeCell ref="A21:E21"/>
    <mergeCell ref="G21:J21"/>
    <mergeCell ref="G23:J23"/>
    <mergeCell ref="A33:E33"/>
    <mergeCell ref="G33:K33"/>
    <mergeCell ref="A34:E34"/>
    <mergeCell ref="G34:K34"/>
    <mergeCell ref="A35:E35"/>
    <mergeCell ref="G35:K35"/>
    <mergeCell ref="A23:E23"/>
    <mergeCell ref="A24:E24"/>
    <mergeCell ref="A32:E32"/>
    <mergeCell ref="G32:K32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6:K6"/>
    <mergeCell ref="A1:K1"/>
    <mergeCell ref="A2:K2"/>
    <mergeCell ref="A3:K3"/>
    <mergeCell ref="A4:K4"/>
    <mergeCell ref="A5:K5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47143-4A24-4F9D-B99B-D09656950CC3}">
  <sheetPr codeName="Sheet7">
    <pageSetUpPr fitToPage="1"/>
  </sheetPr>
  <dimension ref="A1:Q32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N1">
        <v>1</v>
      </c>
      <c r="P1" t="str">
        <f>CONCATENATE(VLOOKUP(N1,DATABASE!A1:I999,4,FALSE)," - BT")</f>
        <v>PAMUGAS, MARK ALFRED - BT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200</v>
      </c>
    </row>
    <row r="3" spans="1:17" x14ac:dyDescent="0.25">
      <c r="A3" s="40" t="s">
        <v>195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201</v>
      </c>
    </row>
    <row r="4" spans="1:17" x14ac:dyDescent="0.25">
      <c r="A4" s="40" t="s">
        <v>196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7" ht="15" customHeight="1" x14ac:dyDescent="0.25">
      <c r="A7" s="31" t="s">
        <v>198</v>
      </c>
      <c r="B7" s="36" t="str">
        <f>VLOOKUP(N1,DATABASE!A1:I999,4,FALSE)</f>
        <v>PAMUGAS, MARK ALFRED</v>
      </c>
      <c r="C7" s="36"/>
      <c r="D7" s="36"/>
      <c r="E7" s="36"/>
      <c r="F7" s="30"/>
      <c r="G7" s="30"/>
      <c r="H7" t="s">
        <v>191</v>
      </c>
      <c r="J7" s="34" t="str">
        <f>VLOOKUP(N1,DATABASE!A1:I999,2,FALSE)</f>
        <v>ML-000001</v>
      </c>
      <c r="K7" s="34"/>
    </row>
    <row r="8" spans="1:17" ht="15" customHeight="1" x14ac:dyDescent="0.25">
      <c r="A8" t="s">
        <v>1</v>
      </c>
      <c r="B8" s="34">
        <f ca="1">VLOOKUP(N1,DATABASE!A1:I999,6,FALSE)</f>
        <v>27</v>
      </c>
      <c r="C8" s="34"/>
      <c r="D8" s="34"/>
      <c r="E8" s="34"/>
      <c r="F8" s="28"/>
      <c r="G8" s="28"/>
      <c r="H8" s="35" t="s">
        <v>35</v>
      </c>
      <c r="I8" s="35"/>
      <c r="J8" s="34" t="str">
        <f>VLOOKUP(N1,DATABASE!A1:I999,7,FALSE)</f>
        <v>MALE</v>
      </c>
      <c r="K8" s="34"/>
      <c r="L8" s="15"/>
    </row>
    <row r="9" spans="1:17" ht="15" customHeight="1" x14ac:dyDescent="0.25">
      <c r="A9" t="s">
        <v>199</v>
      </c>
      <c r="B9" s="37" t="str">
        <f>TEXT(VLOOKUP(N1,DATABASE!A1:I999,5,FALSE),"mmmm d, yyyy")</f>
        <v>July 3, 1997</v>
      </c>
      <c r="C9" s="37"/>
      <c r="D9" s="37"/>
      <c r="E9" s="37"/>
      <c r="F9" s="28"/>
      <c r="G9" s="28"/>
      <c r="H9" t="s">
        <v>34</v>
      </c>
      <c r="J9" s="34" t="str">
        <f>IFERROR(IF(VLOOKUP(N2,DATABASE!A2:I1000,9,FALSE)=0,"",VLOOKUP(N2,DATABASE!A2:I1000,9,FALSE)),"")</f>
        <v/>
      </c>
      <c r="K9" s="34"/>
      <c r="L9" s="15"/>
    </row>
    <row r="10" spans="1:17" x14ac:dyDescent="0.25">
      <c r="A10" t="s">
        <v>0</v>
      </c>
      <c r="B10" s="34" t="str">
        <f>VLOOKUP(N1,DATABASE!A1:I999,8,FALSE)</f>
        <v>MANILA</v>
      </c>
      <c r="C10" s="34"/>
      <c r="D10" s="34"/>
      <c r="E10" s="34"/>
      <c r="H10" t="s">
        <v>36</v>
      </c>
      <c r="J10" s="29" t="str">
        <f>TEXT(VLOOKUP(N1,DATABASE!A1:I999,3,FALSE),"mmmm d, yyyy")</f>
        <v>April 24, 2025</v>
      </c>
      <c r="K10" s="16"/>
    </row>
    <row r="12" spans="1:17" ht="6" customHeight="1" x14ac:dyDescent="0.25"/>
    <row r="13" spans="1:17" ht="31.5" x14ac:dyDescent="0.5">
      <c r="A13" s="47" t="s">
        <v>2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43" t="s">
        <v>58</v>
      </c>
      <c r="B17" s="44"/>
      <c r="C17" s="44"/>
      <c r="D17" s="44"/>
      <c r="E17" s="44"/>
      <c r="G17" s="44" t="s">
        <v>59</v>
      </c>
      <c r="H17" s="44"/>
      <c r="I17" s="44"/>
      <c r="J17" s="44"/>
      <c r="K17" s="57"/>
    </row>
    <row r="18" spans="1:11" x14ac:dyDescent="0.25">
      <c r="A18" s="62" t="s">
        <v>78</v>
      </c>
      <c r="B18" s="63"/>
      <c r="C18" s="63"/>
      <c r="D18" s="63"/>
      <c r="E18" s="63"/>
      <c r="G18" s="44"/>
      <c r="H18" s="44"/>
      <c r="I18" s="44"/>
      <c r="J18" s="44"/>
      <c r="K18" s="57"/>
    </row>
    <row r="19" spans="1:11" x14ac:dyDescent="0.25">
      <c r="A19" s="62"/>
      <c r="B19" s="63"/>
      <c r="C19" s="63"/>
      <c r="D19" s="63"/>
      <c r="E19" s="63"/>
      <c r="G19" s="44"/>
      <c r="H19" s="44"/>
      <c r="I19" s="44"/>
      <c r="J19" s="44"/>
      <c r="K19" s="57"/>
    </row>
    <row r="20" spans="1:11" x14ac:dyDescent="0.25">
      <c r="A20" s="62"/>
      <c r="B20" s="63"/>
      <c r="C20" s="63"/>
      <c r="D20" s="63"/>
      <c r="E20" s="63"/>
      <c r="G20" s="44"/>
      <c r="H20" s="44"/>
      <c r="I20" s="44"/>
      <c r="J20" s="44"/>
      <c r="K20" s="57"/>
    </row>
    <row r="21" spans="1:11" x14ac:dyDescent="0.25">
      <c r="A21" s="62"/>
      <c r="B21" s="63"/>
      <c r="C21" s="63"/>
      <c r="D21" s="63"/>
      <c r="E21" s="63"/>
      <c r="G21" s="44"/>
      <c r="H21" s="44"/>
      <c r="I21" s="44"/>
      <c r="J21" s="44"/>
      <c r="K21" s="57"/>
    </row>
    <row r="22" spans="1:11" x14ac:dyDescent="0.25">
      <c r="A22" s="62"/>
      <c r="B22" s="63"/>
      <c r="C22" s="63"/>
      <c r="D22" s="63"/>
      <c r="E22" s="63"/>
      <c r="G22" s="44"/>
      <c r="H22" s="44"/>
      <c r="I22" s="44"/>
      <c r="J22" s="44"/>
      <c r="K22" s="57"/>
    </row>
    <row r="23" spans="1:11" x14ac:dyDescent="0.25">
      <c r="A23" s="12"/>
      <c r="B23" s="14"/>
      <c r="C23" s="14"/>
      <c r="D23" s="14"/>
      <c r="E23" s="14"/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77</v>
      </c>
    </row>
    <row r="29" spans="1:11" ht="24.75" x14ac:dyDescent="0.5">
      <c r="A29" s="49" t="str">
        <f>$J$10</f>
        <v>April 24, 2025</v>
      </c>
      <c r="B29" s="50"/>
      <c r="C29" s="50"/>
      <c r="D29" s="50"/>
      <c r="E29" s="50"/>
      <c r="G29" s="49" t="str">
        <f>$J$10</f>
        <v>April 24, 2025</v>
      </c>
      <c r="H29" s="50"/>
      <c r="I29" s="50"/>
      <c r="J29" s="50"/>
      <c r="K29" s="50"/>
    </row>
    <row r="30" spans="1:11" x14ac:dyDescent="0.25">
      <c r="A30" s="44" t="s">
        <v>28</v>
      </c>
      <c r="B30" s="44"/>
      <c r="C30" s="44"/>
      <c r="D30" s="44"/>
      <c r="E30" s="44"/>
      <c r="G30" s="44" t="s">
        <v>31</v>
      </c>
      <c r="H30" s="44"/>
      <c r="I30" s="44"/>
      <c r="J30" s="44"/>
      <c r="K30" s="44"/>
    </row>
    <row r="31" spans="1:11" x14ac:dyDescent="0.25">
      <c r="A31" s="48" t="s">
        <v>29</v>
      </c>
      <c r="B31" s="48"/>
      <c r="C31" s="48"/>
      <c r="D31" s="48"/>
      <c r="E31" s="48"/>
      <c r="G31" s="48" t="s">
        <v>32</v>
      </c>
      <c r="H31" s="48"/>
      <c r="I31" s="48"/>
      <c r="J31" s="48"/>
      <c r="K31" s="48"/>
    </row>
    <row r="32" spans="1:11" x14ac:dyDescent="0.25">
      <c r="A32" s="44" t="s">
        <v>30</v>
      </c>
      <c r="B32" s="44"/>
      <c r="C32" s="44"/>
      <c r="D32" s="44"/>
      <c r="E32" s="44"/>
      <c r="G32" s="44" t="s">
        <v>33</v>
      </c>
      <c r="H32" s="44"/>
      <c r="I32" s="44"/>
      <c r="J32" s="44"/>
      <c r="K32" s="44"/>
    </row>
  </sheetData>
  <mergeCells count="27">
    <mergeCell ref="A32:E32"/>
    <mergeCell ref="G32:K32"/>
    <mergeCell ref="A17:E17"/>
    <mergeCell ref="G17:K17"/>
    <mergeCell ref="A18:E22"/>
    <mergeCell ref="G18:K22"/>
    <mergeCell ref="A29:E29"/>
    <mergeCell ref="G29:K29"/>
    <mergeCell ref="A30:E30"/>
    <mergeCell ref="G30:K30"/>
    <mergeCell ref="A31:E31"/>
    <mergeCell ref="G31:K31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6:K6"/>
    <mergeCell ref="A1:K1"/>
    <mergeCell ref="A2:K2"/>
    <mergeCell ref="A3:K3"/>
    <mergeCell ref="A4:K4"/>
    <mergeCell ref="A5:K5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5C3FFD-5A77-48CA-9762-8C1D1358F1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DATABASE</vt:lpstr>
      <vt:lpstr>tblTransaction</vt:lpstr>
      <vt:lpstr>URINALYSIS</vt:lpstr>
      <vt:lpstr>CBC</vt:lpstr>
      <vt:lpstr>FECA</vt:lpstr>
      <vt:lpstr>PT</vt:lpstr>
      <vt:lpstr>BT</vt:lpstr>
      <vt:lpstr>BT!Print_Area</vt:lpstr>
      <vt:lpstr>CBC!Print_Area</vt:lpstr>
      <vt:lpstr>FECA!Print_Area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 Pamugas</cp:lastModifiedBy>
  <cp:lastPrinted>2025-04-13T10:36:35Z</cp:lastPrinted>
  <dcterms:created xsi:type="dcterms:W3CDTF">2023-04-20T05:37:55Z</dcterms:created>
  <dcterms:modified xsi:type="dcterms:W3CDTF">2025-05-06T14:13:07Z</dcterms:modified>
</cp:coreProperties>
</file>