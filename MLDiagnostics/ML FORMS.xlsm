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Mark Files\Github\mackoyyakooo.github.io\MLDiagnostics\"/>
    </mc:Choice>
  </mc:AlternateContent>
  <xr:revisionPtr revIDLastSave="0" documentId="13_ncr:1_{0587947C-D662-4C2E-A8E6-4A5EAF6D7DC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BASE" sheetId="7" r:id="rId1"/>
    <sheet name="URINALYSIS" sheetId="12" r:id="rId2"/>
    <sheet name="CBC" sheetId="20" r:id="rId3"/>
    <sheet name="FECA" sheetId="21" r:id="rId4"/>
    <sheet name="PT" sheetId="22" r:id="rId5"/>
    <sheet name="BT" sheetId="23" r:id="rId6"/>
  </sheets>
  <definedNames>
    <definedName name="_xlnm.Print_Area" localSheetId="5">BT!$A$1:$K$31</definedName>
    <definedName name="_xlnm.Print_Area" localSheetId="2">CBC!$A$1:$K$39</definedName>
    <definedName name="_xlnm.Print_Area" localSheetId="3">FECA!$A$1:$K$35</definedName>
    <definedName name="_xlnm.Print_Area" localSheetId="4">PT!$A$1:$K$34</definedName>
    <definedName name="_xlnm.Print_Area" localSheetId="1">URINALYSIS!$A$1:$K$42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" i="23" l="1"/>
  <c r="P1" i="22"/>
  <c r="P1" i="21"/>
  <c r="P1" i="20"/>
  <c r="Q1" i="12"/>
  <c r="P1" i="12"/>
  <c r="J10" i="23" l="1"/>
  <c r="B10" i="23"/>
  <c r="J9" i="23"/>
  <c r="B9" i="23"/>
  <c r="J8" i="23"/>
  <c r="J7" i="23"/>
  <c r="Q1" i="23" s="1"/>
  <c r="B7" i="23"/>
  <c r="J10" i="22"/>
  <c r="B10" i="22"/>
  <c r="J9" i="22"/>
  <c r="B9" i="22"/>
  <c r="J8" i="22"/>
  <c r="J7" i="22"/>
  <c r="Q1" i="22" s="1"/>
  <c r="B7" i="22"/>
  <c r="J10" i="21"/>
  <c r="B10" i="21"/>
  <c r="J9" i="21"/>
  <c r="B9" i="21"/>
  <c r="J8" i="21"/>
  <c r="J7" i="21"/>
  <c r="Q1" i="21" s="1"/>
  <c r="B7" i="21"/>
  <c r="J10" i="20"/>
  <c r="B10" i="20"/>
  <c r="J9" i="20"/>
  <c r="B9" i="20"/>
  <c r="J8" i="20"/>
  <c r="J7" i="20"/>
  <c r="Q1" i="20" s="1"/>
  <c r="B7" i="20"/>
  <c r="B7" i="12"/>
  <c r="J8" i="12"/>
  <c r="J10" i="12"/>
  <c r="J9" i="12"/>
  <c r="B9" i="12"/>
  <c r="J7" i="12"/>
  <c r="B10" i="12"/>
  <c r="G39" i="12" l="1"/>
  <c r="A39" i="12"/>
  <c r="G29" i="23"/>
  <c r="G32" i="22"/>
  <c r="G33" i="21"/>
  <c r="G37" i="20"/>
  <c r="A29" i="23"/>
  <c r="A32" i="22"/>
  <c r="A33" i="21"/>
  <c r="A37" i="20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2" i="7" l="1"/>
  <c r="B8" i="23" s="1"/>
  <c r="B8" i="20" l="1"/>
  <c r="B8" i="22"/>
  <c r="B8" i="21"/>
  <c r="B8" i="12"/>
</calcChain>
</file>

<file path=xl/sharedStrings.xml><?xml version="1.0" encoding="utf-8"?>
<sst xmlns="http://schemas.openxmlformats.org/spreadsheetml/2006/main" count="298" uniqueCount="203">
  <si>
    <t>Address:</t>
  </si>
  <si>
    <t>Age:</t>
  </si>
  <si>
    <t>HEMATOLOGY</t>
  </si>
  <si>
    <t>TEST</t>
  </si>
  <si>
    <t>RESULT</t>
  </si>
  <si>
    <t>Male: 130 - 180 g/L</t>
  </si>
  <si>
    <t>Male: 0.40 - 0.50 Vol. Fr.</t>
  </si>
  <si>
    <t>Male: 4.5-6.2 x 10^12 / L</t>
  </si>
  <si>
    <t>Female: 120 - 160 g/L</t>
  </si>
  <si>
    <t>Hemoglobin</t>
  </si>
  <si>
    <t>Female: 0.37 - 0.43 Vol. Fr.</t>
  </si>
  <si>
    <t xml:space="preserve">Hematocrit </t>
  </si>
  <si>
    <t>Female: 4.0-5.4 x 10^12 / L</t>
  </si>
  <si>
    <t>Red Blood Cell Count</t>
  </si>
  <si>
    <t>4.5 – 11.0 x 10^9 / L</t>
  </si>
  <si>
    <t>White Blood Cell Count</t>
  </si>
  <si>
    <t>DIFFERENTIAL COUNT:</t>
  </si>
  <si>
    <t>55 - 65</t>
  </si>
  <si>
    <t>25 - 35</t>
  </si>
  <si>
    <t>3 - 6</t>
  </si>
  <si>
    <t>Eosinophil</t>
  </si>
  <si>
    <t>Neutrophil</t>
  </si>
  <si>
    <t>Lymphocyte</t>
  </si>
  <si>
    <t>Monocyte</t>
  </si>
  <si>
    <t>2 - 6</t>
  </si>
  <si>
    <t>Platelet Count</t>
  </si>
  <si>
    <t>150 – 450 x 10^9 / L</t>
  </si>
  <si>
    <t>REFERENCE VALUE</t>
  </si>
  <si>
    <t>MAISIE LOU P. LONADO</t>
  </si>
  <si>
    <t>Lic. No. 0069667</t>
  </si>
  <si>
    <t>Medical Technologist</t>
  </si>
  <si>
    <t>MA. BEMERLY J. SIRA, MD, FPSP</t>
  </si>
  <si>
    <t>Lic. No. 0080910</t>
  </si>
  <si>
    <t>Pathologist</t>
  </si>
  <si>
    <t>Physician:</t>
  </si>
  <si>
    <t>Gender:</t>
  </si>
  <si>
    <t>Date:</t>
  </si>
  <si>
    <t>PHYSICAL PROPERTIES</t>
  </si>
  <si>
    <t>Color</t>
  </si>
  <si>
    <t>Transparency</t>
  </si>
  <si>
    <t>Reaction</t>
  </si>
  <si>
    <t>Specific Gravity</t>
  </si>
  <si>
    <t>CHEMICAL TEST</t>
  </si>
  <si>
    <t>Sugar</t>
  </si>
  <si>
    <t>Albumin</t>
  </si>
  <si>
    <t>MICROSCOPIC FINDINGS</t>
  </si>
  <si>
    <t>Pus Cell</t>
  </si>
  <si>
    <t>RBC</t>
  </si>
  <si>
    <t>Amorphous</t>
  </si>
  <si>
    <t>Squamous Epithelial Cells</t>
  </si>
  <si>
    <t>Mucus Threads</t>
  </si>
  <si>
    <t>Bacteria</t>
  </si>
  <si>
    <t>URINALYSIS</t>
  </si>
  <si>
    <t>RESULTS</t>
  </si>
  <si>
    <t>FECALYSIS</t>
  </si>
  <si>
    <t>PHYSICAL EXAMINATION</t>
  </si>
  <si>
    <t>Consistency</t>
  </si>
  <si>
    <t>FINDINGS: No Ova/Cyst of Intestinal Parasite Found</t>
  </si>
  <si>
    <t>ABO Blood Type</t>
  </si>
  <si>
    <t>RH Typing</t>
  </si>
  <si>
    <t>NAME</t>
  </si>
  <si>
    <t>DATE</t>
  </si>
  <si>
    <t>DATE OF BIRTH</t>
  </si>
  <si>
    <t>GENDER</t>
  </si>
  <si>
    <t>ADDRESS</t>
  </si>
  <si>
    <t>PHYSICIAN</t>
  </si>
  <si>
    <t>No.</t>
  </si>
  <si>
    <t>PAMUGAS, MARK ALFRED</t>
  </si>
  <si>
    <t>MALE</t>
  </si>
  <si>
    <t>MANILA</t>
  </si>
  <si>
    <t>AGE</t>
  </si>
  <si>
    <t>SEROLOGY</t>
  </si>
  <si>
    <t>Specimen: Serum</t>
  </si>
  <si>
    <t>Method Used: Immunochromatography</t>
  </si>
  <si>
    <t>Pregnancy Test (Serum)</t>
  </si>
  <si>
    <t>LMP: NOVEMBER 21,2022</t>
  </si>
  <si>
    <t>POSITIVE</t>
  </si>
  <si>
    <t xml:space="preserve"> </t>
  </si>
  <si>
    <t>**Laboratory results must be clinically correlated by your attending physician.</t>
  </si>
  <si>
    <t>"O"</t>
  </si>
  <si>
    <t>LONADO, MAISIE LOU</t>
  </si>
  <si>
    <t>PATIENT ID.</t>
  </si>
  <si>
    <t>ML-000001</t>
  </si>
  <si>
    <t>ML-000002</t>
  </si>
  <si>
    <t>ML-000003</t>
  </si>
  <si>
    <t>ML-000004</t>
  </si>
  <si>
    <t>ML-000005</t>
  </si>
  <si>
    <t>ML-000006</t>
  </si>
  <si>
    <t>ML-000007</t>
  </si>
  <si>
    <t>ML-000008</t>
  </si>
  <si>
    <t>ML-000009</t>
  </si>
  <si>
    <t>ML-000010</t>
  </si>
  <si>
    <t>ML-000011</t>
  </si>
  <si>
    <t>ML-000012</t>
  </si>
  <si>
    <t>ML-000013</t>
  </si>
  <si>
    <t>ML-000014</t>
  </si>
  <si>
    <t>ML-000015</t>
  </si>
  <si>
    <t>ML-000016</t>
  </si>
  <si>
    <t>ML-000017</t>
  </si>
  <si>
    <t>ML-000018</t>
  </si>
  <si>
    <t>ML-000019</t>
  </si>
  <si>
    <t>ML-000020</t>
  </si>
  <si>
    <t>ML-000021</t>
  </si>
  <si>
    <t>ML-000022</t>
  </si>
  <si>
    <t>ML-000023</t>
  </si>
  <si>
    <t>ML-000024</t>
  </si>
  <si>
    <t>ML-000025</t>
  </si>
  <si>
    <t>ML-000026</t>
  </si>
  <si>
    <t>ML-000027</t>
  </si>
  <si>
    <t>ML-000028</t>
  </si>
  <si>
    <t>ML-000029</t>
  </si>
  <si>
    <t>ML-000030</t>
  </si>
  <si>
    <t>ML-000031</t>
  </si>
  <si>
    <t>ML-000032</t>
  </si>
  <si>
    <t>ML-000033</t>
  </si>
  <si>
    <t>ML-000034</t>
  </si>
  <si>
    <t>ML-000035</t>
  </si>
  <si>
    <t>ML-000036</t>
  </si>
  <si>
    <t>ML-000037</t>
  </si>
  <si>
    <t>ML-000038</t>
  </si>
  <si>
    <t>ML-000039</t>
  </si>
  <si>
    <t>ML-000040</t>
  </si>
  <si>
    <t>ML-000041</t>
  </si>
  <si>
    <t>ML-000042</t>
  </si>
  <si>
    <t>ML-000043</t>
  </si>
  <si>
    <t>ML-000044</t>
  </si>
  <si>
    <t>ML-000045</t>
  </si>
  <si>
    <t>ML-000046</t>
  </si>
  <si>
    <t>ML-000047</t>
  </si>
  <si>
    <t>ML-000048</t>
  </si>
  <si>
    <t>ML-000049</t>
  </si>
  <si>
    <t>ML-000050</t>
  </si>
  <si>
    <t>ML-000051</t>
  </si>
  <si>
    <t>ML-000052</t>
  </si>
  <si>
    <t>ML-000053</t>
  </si>
  <si>
    <t>ML-000054</t>
  </si>
  <si>
    <t>ML-000055</t>
  </si>
  <si>
    <t>ML-000056</t>
  </si>
  <si>
    <t>ML-000057</t>
  </si>
  <si>
    <t>ML-000058</t>
  </si>
  <si>
    <t>ML-000059</t>
  </si>
  <si>
    <t>ML-000060</t>
  </si>
  <si>
    <t>ML-000061</t>
  </si>
  <si>
    <t>ML-000062</t>
  </si>
  <si>
    <t>ML-000063</t>
  </si>
  <si>
    <t>ML-000064</t>
  </si>
  <si>
    <t>ML-000065</t>
  </si>
  <si>
    <t>ML-000066</t>
  </si>
  <si>
    <t>ML-000067</t>
  </si>
  <si>
    <t>ML-000068</t>
  </si>
  <si>
    <t>ML-000069</t>
  </si>
  <si>
    <t>ML-000070</t>
  </si>
  <si>
    <t>ML-000071</t>
  </si>
  <si>
    <t>ML-000072</t>
  </si>
  <si>
    <t>ML-000073</t>
  </si>
  <si>
    <t>ML-000074</t>
  </si>
  <si>
    <t>ML-000075</t>
  </si>
  <si>
    <t>ML-000076</t>
  </si>
  <si>
    <t>ML-000077</t>
  </si>
  <si>
    <t>ML-000078</t>
  </si>
  <si>
    <t>ML-000079</t>
  </si>
  <si>
    <t>ML-000080</t>
  </si>
  <si>
    <t>ML-000081</t>
  </si>
  <si>
    <t>ML-000082</t>
  </si>
  <si>
    <t>ML-000083</t>
  </si>
  <si>
    <t>ML-000084</t>
  </si>
  <si>
    <t>ML-000085</t>
  </si>
  <si>
    <t>ML-000086</t>
  </si>
  <si>
    <t>ML-000087</t>
  </si>
  <si>
    <t>ML-000088</t>
  </si>
  <si>
    <t>ML-000089</t>
  </si>
  <si>
    <t>ML-000090</t>
  </si>
  <si>
    <t>ML-000091</t>
  </si>
  <si>
    <t>ML-000092</t>
  </si>
  <si>
    <t>ML-000093</t>
  </si>
  <si>
    <t>ML-000094</t>
  </si>
  <si>
    <t>ML-000095</t>
  </si>
  <si>
    <t>ML-000096</t>
  </si>
  <si>
    <t>ML-000097</t>
  </si>
  <si>
    <t>ML-000098</t>
  </si>
  <si>
    <t>ML-000099</t>
  </si>
  <si>
    <t>ML-000100</t>
  </si>
  <si>
    <t>ML-000101</t>
  </si>
  <si>
    <t>ML-000102</t>
  </si>
  <si>
    <t>ML-000103</t>
  </si>
  <si>
    <t>ML-000104</t>
  </si>
  <si>
    <t>ML-000105</t>
  </si>
  <si>
    <t>ML-000106</t>
  </si>
  <si>
    <t>ML-000107</t>
  </si>
  <si>
    <t>ML-000108</t>
  </si>
  <si>
    <t>ML-000109</t>
  </si>
  <si>
    <t>ML-000110</t>
  </si>
  <si>
    <t>Patient ID:</t>
  </si>
  <si>
    <t>ALFRED PAMUGAS</t>
  </si>
  <si>
    <t>FEMALE</t>
  </si>
  <si>
    <t xml:space="preserve">Governor Yulo Drive Brgy. Quezon Arevalo, Iloilo City         </t>
  </si>
  <si>
    <t xml:space="preserve">Telephone No.: (033)3215439, 09392828878 and 09667562388      </t>
  </si>
  <si>
    <t>DOH License No.: 06-0279-21-CL-2</t>
  </si>
  <si>
    <t>ML Diagnostic Center</t>
  </si>
  <si>
    <t>Name:</t>
  </si>
  <si>
    <t>Birthdate:</t>
  </si>
  <si>
    <t>D:\Mark Files\Github\mackoyyakooo.github.io\MLDiagnostics\Results\RMT ESIG\</t>
  </si>
  <si>
    <t>Aurora-Mel_C._Sebastian.png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</si>
</sst>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2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6" xfId="0" applyFont="1" applyBorder="1"/>
    <xf numFmtId="0" fontId="5" fillId="0" borderId="0" xfId="0" applyFont="1"/>
    <xf numFmtId="0" fontId="8" fillId="0" borderId="0" xfId="0" applyFont="1"/>
    <xf numFmtId="14" fontId="0" fillId="0" borderId="0" xfId="0" applyNumberFormat="1" applyAlignment="1">
      <alignment horizontal="center"/>
    </xf>
    <xf numFmtId="0" fontId="10" fillId="0" borderId="0" xfId="0" applyFont="1" applyAlignment="1">
      <alignment vertical="top" wrapText="1"/>
    </xf>
    <xf numFmtId="164" fontId="1" fillId="0" borderId="0" xfId="0" applyNumberFormat="1" applyFont="1" applyAlignment="1">
      <alignment horizontal="left"/>
    </xf>
    <xf numFmtId="0" fontId="13" fillId="0" borderId="0" xfId="0" applyFont="1" applyAlignment="1">
      <alignment vertical="top" wrapText="1"/>
    </xf>
    <xf numFmtId="0" fontId="14" fillId="0" borderId="0" xfId="0" applyFont="1" applyAlignment="1">
      <alignment vertical="top" wrapText="1"/>
    </xf>
    <xf numFmtId="0" fontId="15" fillId="0" borderId="0" xfId="0" applyFont="1" applyAlignment="1">
      <alignment horizontal="left" vertical="top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7" fillId="0" borderId="0" xfId="0" applyFont="1" applyAlignment="1">
      <alignment horizontal="left" wrapText="1" indent="14"/>
    </xf>
    <xf numFmtId="0" fontId="7" fillId="0" borderId="0" xfId="0" applyFont="1" applyAlignment="1">
      <alignment horizontal="left" indent="14"/>
    </xf>
    <xf numFmtId="0" fontId="4" fillId="0" borderId="9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5" xfId="0" applyBorder="1" applyAlignment="1">
      <alignment horizontal="left" indent="1"/>
    </xf>
    <xf numFmtId="0" fontId="6" fillId="0" borderId="1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F2E3AE96-1E65-4F9E-84D2-022AB19315CD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C6EE714A-BC18-4EC8-8436-832A474398BB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43639DC-5912-42D0-BE1E-51B402E75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0" name="TextBox 9">
          <a:extLst>
            <a:ext uri="{FF2B5EF4-FFF2-40B4-BE49-F238E27FC236}">
              <a16:creationId xmlns:a16="http://schemas.microsoft.com/office/drawing/2014/main" id="{A9B2FC2B-D0EA-4940-81EF-94C974A9F007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4</xdr:col>
      <xdr:colOff>136525</xdr:colOff>
      <xdr:row>41</xdr:row>
      <xdr:rowOff>3175</xdr:rowOff>
    </xdr:to>
    <xdr:pic>
      <xdr:nvPicPr>
        <xdr:cNvPr id="19" name="AddImageToCollected">
          <a:extLst>
            <a:ext uri="{FF2B5EF4-FFF2-40B4-BE49-F238E27FC236}">
              <a16:creationId xmlns:a16="http://schemas.microsoft.com/office/drawing/2014/main" id="{760C36F7-AFBC-0F3F-0486-FDE2071DD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7477125"/>
          <a:ext cx="1270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C6A0297B-79C6-4C18-A845-72CCE10B1197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17C261AF-4054-4E24-BCE1-3F45A6BBC8D6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0A7D21-867D-4841-8C07-942722F9A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6" name="TextBox 5">
          <a:extLst>
            <a:ext uri="{FF2B5EF4-FFF2-40B4-BE49-F238E27FC236}">
              <a16:creationId xmlns:a16="http://schemas.microsoft.com/office/drawing/2014/main" id="{C73B4B04-6664-4504-884A-77A7F9D6DC6C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7" name="TextBox 6">
          <a:extLst>
            <a:ext uri="{FF2B5EF4-FFF2-40B4-BE49-F238E27FC236}">
              <a16:creationId xmlns:a16="http://schemas.microsoft.com/office/drawing/2014/main" id="{DFB26C29-3CFB-456A-99B6-BF4B3E8B25B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8" name="TextBox 7">
          <a:extLst>
            <a:ext uri="{FF2B5EF4-FFF2-40B4-BE49-F238E27FC236}">
              <a16:creationId xmlns:a16="http://schemas.microsoft.com/office/drawing/2014/main" id="{51AC9A56-0935-4A3A-B94F-D4AD7A289CAB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4</xdr:col>
      <xdr:colOff>136525</xdr:colOff>
      <xdr:row>41</xdr:row>
      <xdr:rowOff>127000</xdr:rowOff>
    </xdr:to>
    <xdr:pic>
      <xdr:nvPicPr>
        <xdr:cNvPr id="10" name="AddImageToCollected">
          <a:extLst>
            <a:ext uri="{FF2B5EF4-FFF2-40B4-BE49-F238E27FC236}">
              <a16:creationId xmlns:a16="http://schemas.microsoft.com/office/drawing/2014/main" id="{4B8AADB2-FC00-820D-3666-89E670051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7600950"/>
          <a:ext cx="1270000" cy="8890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C8BCE72A-8C40-4745-B5F1-2B318276C1C3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9" name="TextBox 8">
          <a:extLst>
            <a:ext uri="{FF2B5EF4-FFF2-40B4-BE49-F238E27FC236}">
              <a16:creationId xmlns:a16="http://schemas.microsoft.com/office/drawing/2014/main" id="{3113831B-AEA1-41C0-9E04-55C3F36C29D1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1D8CAD47-2CB6-4862-86CC-359D86FD24EA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C85869AB-2D11-4CCC-926D-00721F0F6E36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D832014D-E225-42BA-9751-FCDB6E333BD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11050F-30EB-4E13-8BB0-05FD3EB4C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6" name="TextBox 5">
          <a:extLst>
            <a:ext uri="{FF2B5EF4-FFF2-40B4-BE49-F238E27FC236}">
              <a16:creationId xmlns:a16="http://schemas.microsoft.com/office/drawing/2014/main" id="{EB861C81-41DF-4F2E-9BCD-D25B7CCDF597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7" name="TextBox 6">
          <a:extLst>
            <a:ext uri="{FF2B5EF4-FFF2-40B4-BE49-F238E27FC236}">
              <a16:creationId xmlns:a16="http://schemas.microsoft.com/office/drawing/2014/main" id="{A3CDFCE1-8A8C-4168-9584-CC4F56E97A33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8" name="TextBox 7">
          <a:extLst>
            <a:ext uri="{FF2B5EF4-FFF2-40B4-BE49-F238E27FC236}">
              <a16:creationId xmlns:a16="http://schemas.microsoft.com/office/drawing/2014/main" id="{3CC07EE7-91F7-4A68-A10D-D131F1EC9AD5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9" name="TextBox 8">
          <a:extLst>
            <a:ext uri="{FF2B5EF4-FFF2-40B4-BE49-F238E27FC236}">
              <a16:creationId xmlns:a16="http://schemas.microsoft.com/office/drawing/2014/main" id="{18AE60E2-2C1D-4CF2-8719-78A2FB07F83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0" name="TextBox 9">
          <a:extLst>
            <a:ext uri="{FF2B5EF4-FFF2-40B4-BE49-F238E27FC236}">
              <a16:creationId xmlns:a16="http://schemas.microsoft.com/office/drawing/2014/main" id="{697253D4-5C47-4E0A-93B8-9EB5B5564E7E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E0412DDC-6BFE-4CA8-94DD-D4C1FD317960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1" name="TextBox 10">
          <a:extLst>
            <a:ext uri="{FF2B5EF4-FFF2-40B4-BE49-F238E27FC236}">
              <a16:creationId xmlns:a16="http://schemas.microsoft.com/office/drawing/2014/main" id="{CD91B43C-AC35-4EB7-B4AC-EED50E869099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2" name="TextBox 11">
          <a:extLst>
            <a:ext uri="{FF2B5EF4-FFF2-40B4-BE49-F238E27FC236}">
              <a16:creationId xmlns:a16="http://schemas.microsoft.com/office/drawing/2014/main" id="{203DC95C-D415-4FD7-8A74-116B28D1A680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A02E51A6-4265-4EAF-8DD9-DF8B8D61DD2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638515FB-C2D1-4F07-AA42-33A0A9AB7805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F62986-411C-42DE-913D-E1B1C5238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CF3304-D28F-4022-8CC1-8EDBFE95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7" name="TextBox 6">
          <a:extLst>
            <a:ext uri="{FF2B5EF4-FFF2-40B4-BE49-F238E27FC236}">
              <a16:creationId xmlns:a16="http://schemas.microsoft.com/office/drawing/2014/main" id="{401A56A2-65E7-4B07-A370-BCF14971822D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8" name="TextBox 7">
          <a:extLst>
            <a:ext uri="{FF2B5EF4-FFF2-40B4-BE49-F238E27FC236}">
              <a16:creationId xmlns:a16="http://schemas.microsoft.com/office/drawing/2014/main" id="{58FEEC2F-68ED-477D-8188-E9632018B0E9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9" name="TextBox 8">
          <a:extLst>
            <a:ext uri="{FF2B5EF4-FFF2-40B4-BE49-F238E27FC236}">
              <a16:creationId xmlns:a16="http://schemas.microsoft.com/office/drawing/2014/main" id="{9E9C6A0B-9B80-4364-84E0-4B6A8F2E34AF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0" name="TextBox 9">
          <a:extLst>
            <a:ext uri="{FF2B5EF4-FFF2-40B4-BE49-F238E27FC236}">
              <a16:creationId xmlns:a16="http://schemas.microsoft.com/office/drawing/2014/main" id="{410A7100-A1C9-41C0-BCDD-688C0D8B01F3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A1E66F95-9B7F-40C9-9334-79A7CD477A53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7FB900A6-C37C-45FA-9ABD-DDBE535386C8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2" name="TextBox 11">
          <a:extLst>
            <a:ext uri="{FF2B5EF4-FFF2-40B4-BE49-F238E27FC236}">
              <a16:creationId xmlns:a16="http://schemas.microsoft.com/office/drawing/2014/main" id="{BB561A70-B69C-479B-8D5C-FD82C7B6A1D4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3" name="TextBox 12">
          <a:extLst>
            <a:ext uri="{FF2B5EF4-FFF2-40B4-BE49-F238E27FC236}">
              <a16:creationId xmlns:a16="http://schemas.microsoft.com/office/drawing/2014/main" id="{09D6627A-003C-4BA8-90A9-CF815E357039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3B84CEE8-CC96-4B71-A887-59A9066B0A7B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60EFFC2A-1EAC-44B5-9B0F-8B9316F4B755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75190D-EB82-467D-BE97-DF14303F6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E9AF687-9355-46AF-871A-69744BE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7" name="TextBox 6">
          <a:extLst>
            <a:ext uri="{FF2B5EF4-FFF2-40B4-BE49-F238E27FC236}">
              <a16:creationId xmlns:a16="http://schemas.microsoft.com/office/drawing/2014/main" id="{CE8398E5-AC24-4A5A-AF9B-A3B0F867B44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8" name="TextBox 7">
          <a:extLst>
            <a:ext uri="{FF2B5EF4-FFF2-40B4-BE49-F238E27FC236}">
              <a16:creationId xmlns:a16="http://schemas.microsoft.com/office/drawing/2014/main" id="{C879869B-03E1-4E68-B5BD-752FADC0EB5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9" name="TextBox 8">
          <a:extLst>
            <a:ext uri="{FF2B5EF4-FFF2-40B4-BE49-F238E27FC236}">
              <a16:creationId xmlns:a16="http://schemas.microsoft.com/office/drawing/2014/main" id="{225E0CF3-55B8-4314-A112-8E6DC8E1782D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0" name="TextBox 9">
          <a:extLst>
            <a:ext uri="{FF2B5EF4-FFF2-40B4-BE49-F238E27FC236}">
              <a16:creationId xmlns:a16="http://schemas.microsoft.com/office/drawing/2014/main" id="{6E2C7193-EF8B-4980-8F90-6005DC08CA0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C233AB57-7807-451F-9B44-55DA07E35B8D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4" name="TextBox 3">
          <a:extLst>
            <a:ext uri="{FF2B5EF4-FFF2-40B4-BE49-F238E27FC236}">
              <a16:creationId xmlns:a16="http://schemas.microsoft.com/office/drawing/2014/main" id="{B998D1CC-A6B2-4475-B588-6715D01C74C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2" name="TextBox 11">
          <a:extLst>
            <a:ext uri="{FF2B5EF4-FFF2-40B4-BE49-F238E27FC236}">
              <a16:creationId xmlns:a16="http://schemas.microsoft.com/office/drawing/2014/main" id="{471E6118-5C59-4D24-BBD3-4E14E0A557C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3" name="TextBox 12">
          <a:extLst>
            <a:ext uri="{FF2B5EF4-FFF2-40B4-BE49-F238E27FC236}">
              <a16:creationId xmlns:a16="http://schemas.microsoft.com/office/drawing/2014/main" id="{3E4809AE-101D-4281-83BD-16F9F2A3ED18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"/>
  <sheetViews>
    <sheetView zoomScaleNormal="100" workbookViewId="0">
      <selection activeCell="D38" sqref="D38"/>
    </sheetView>
  </sheetViews>
  <sheetFormatPr defaultRowHeight="15" x14ac:dyDescent="0.25"/>
  <cols>
    <col min="1" max="1" width="4.140625" style="14" bestFit="1" customWidth="1"/>
    <col min="2" max="2" width="11.28515625" style="14" bestFit="1" customWidth="1"/>
    <col min="3" max="3" width="9.7109375" style="14" bestFit="1" customWidth="1"/>
    <col min="4" max="4" width="23.7109375" style="14" bestFit="1" customWidth="1"/>
    <col min="5" max="5" width="14.140625" style="14" bestFit="1" customWidth="1"/>
    <col min="6" max="6" width="4.7109375" style="14" bestFit="1" customWidth="1"/>
    <col min="7" max="7" width="8.28515625" style="14" bestFit="1" customWidth="1"/>
    <col min="8" max="8" width="9" style="14" bestFit="1" customWidth="1"/>
    <col min="9" max="9" width="10.5703125" style="14" bestFit="1" customWidth="1"/>
    <col min="10" max="16384" width="9.140625" style="14"/>
  </cols>
  <sheetData>
    <row r="1" spans="1:9" x14ac:dyDescent="0.25">
      <c r="A1" s="16" t="s">
        <v>66</v>
      </c>
      <c r="B1" s="16" t="s">
        <v>81</v>
      </c>
      <c r="C1" s="16" t="s">
        <v>61</v>
      </c>
      <c r="D1" s="16" t="s">
        <v>60</v>
      </c>
      <c r="E1" s="16" t="s">
        <v>62</v>
      </c>
      <c r="F1" s="16" t="s">
        <v>70</v>
      </c>
      <c r="G1" s="16" t="s">
        <v>63</v>
      </c>
      <c r="H1" s="16" t="s">
        <v>64</v>
      </c>
      <c r="I1" s="16" t="s">
        <v>65</v>
      </c>
    </row>
    <row r="2" spans="1:9" x14ac:dyDescent="0.25">
      <c r="A2" s="14">
        <v>1</v>
      </c>
      <c r="B2" s="14" t="s">
        <v>82</v>
      </c>
      <c r="C2" s="27">
        <v>45713</v>
      </c>
      <c r="D2" s="14" t="s">
        <v>67</v>
      </c>
      <c r="E2" s="27">
        <v>35614</v>
      </c>
      <c r="F2" s="10">
        <f ca="1">DATEDIF(E2, TODAY(), "Y")</f>
        <v>27</v>
      </c>
      <c r="G2" s="14" t="s">
        <v>68</v>
      </c>
      <c r="H2" s="14" t="s">
        <v>69</v>
      </c>
    </row>
    <row r="3" spans="1:9" x14ac:dyDescent="0.25">
      <c r="A3" s="14">
        <v>2</v>
      </c>
      <c r="B3" s="14" t="s">
        <v>83</v>
      </c>
      <c r="C3" s="27">
        <v>45713</v>
      </c>
      <c r="D3" s="14" t="s">
        <v>80</v>
      </c>
      <c r="E3" s="27">
        <v>34455</v>
      </c>
      <c r="F3" s="10">
        <f t="shared" ref="F3:F66" ca="1" si="0">DATEDIF(E3, TODAY(), "Y")</f>
        <v>30</v>
      </c>
      <c r="G3" s="14" t="s">
        <v>194</v>
      </c>
      <c r="H3" s="14" t="s">
        <v>69</v>
      </c>
    </row>
    <row r="4" spans="1:9" x14ac:dyDescent="0.25">
      <c r="A4" s="14">
        <v>3</v>
      </c>
      <c r="B4" s="14" t="s">
        <v>84</v>
      </c>
      <c r="C4" s="27">
        <v>45713</v>
      </c>
      <c r="D4" s="14" t="s">
        <v>193</v>
      </c>
      <c r="E4" s="27">
        <v>35614</v>
      </c>
      <c r="F4" s="10">
        <f t="shared" ca="1" si="0"/>
        <v>27</v>
      </c>
      <c r="G4" s="14" t="s">
        <v>77</v>
      </c>
      <c r="H4" s="14" t="s">
        <v>69</v>
      </c>
    </row>
    <row r="5" spans="1:9" x14ac:dyDescent="0.25">
      <c r="A5" s="14">
        <v>4</v>
      </c>
      <c r="B5" s="14" t="s">
        <v>85</v>
      </c>
      <c r="C5" s="27"/>
      <c r="F5" s="10">
        <f t="shared" ca="1" si="0"/>
        <v>125</v>
      </c>
    </row>
    <row r="6" spans="1:9" x14ac:dyDescent="0.25">
      <c r="A6" s="14">
        <v>5</v>
      </c>
      <c r="B6" s="14" t="s">
        <v>86</v>
      </c>
      <c r="C6" s="27"/>
      <c r="F6" s="10">
        <f t="shared" ca="1" si="0"/>
        <v>125</v>
      </c>
    </row>
    <row r="7" spans="1:9" x14ac:dyDescent="0.25">
      <c r="A7" s="14">
        <v>6</v>
      </c>
      <c r="B7" s="14" t="s">
        <v>87</v>
      </c>
      <c r="C7" s="27"/>
      <c r="F7" s="10">
        <f t="shared" ca="1" si="0"/>
        <v>125</v>
      </c>
    </row>
    <row r="8" spans="1:9" x14ac:dyDescent="0.25">
      <c r="A8" s="14">
        <v>7</v>
      </c>
      <c r="B8" s="14" t="s">
        <v>88</v>
      </c>
      <c r="C8" s="27"/>
      <c r="F8" s="10">
        <f t="shared" ca="1" si="0"/>
        <v>125</v>
      </c>
    </row>
    <row r="9" spans="1:9" x14ac:dyDescent="0.25">
      <c r="A9" s="14">
        <v>8</v>
      </c>
      <c r="B9" s="14" t="s">
        <v>89</v>
      </c>
      <c r="C9" s="27"/>
      <c r="F9" s="10">
        <f t="shared" ca="1" si="0"/>
        <v>125</v>
      </c>
    </row>
    <row r="10" spans="1:9" x14ac:dyDescent="0.25">
      <c r="A10" s="14">
        <v>9</v>
      </c>
      <c r="B10" s="14" t="s">
        <v>90</v>
      </c>
      <c r="C10" s="27"/>
      <c r="F10" s="10">
        <f t="shared" ca="1" si="0"/>
        <v>125</v>
      </c>
    </row>
    <row r="11" spans="1:9" x14ac:dyDescent="0.25">
      <c r="A11" s="14">
        <v>10</v>
      </c>
      <c r="B11" s="14" t="s">
        <v>91</v>
      </c>
      <c r="C11" s="27"/>
      <c r="F11" s="10">
        <f t="shared" ca="1" si="0"/>
        <v>125</v>
      </c>
    </row>
    <row r="12" spans="1:9" x14ac:dyDescent="0.25">
      <c r="A12" s="14">
        <v>11</v>
      </c>
      <c r="B12" s="14" t="s">
        <v>92</v>
      </c>
      <c r="C12" s="27"/>
      <c r="F12" s="10">
        <f t="shared" ca="1" si="0"/>
        <v>125</v>
      </c>
    </row>
    <row r="13" spans="1:9" x14ac:dyDescent="0.25">
      <c r="A13" s="14">
        <v>12</v>
      </c>
      <c r="B13" s="14" t="s">
        <v>93</v>
      </c>
      <c r="C13" s="27"/>
      <c r="F13" s="10">
        <f t="shared" ca="1" si="0"/>
        <v>125</v>
      </c>
    </row>
    <row r="14" spans="1:9" x14ac:dyDescent="0.25">
      <c r="A14" s="14">
        <v>13</v>
      </c>
      <c r="B14" s="14" t="s">
        <v>94</v>
      </c>
      <c r="C14" s="27"/>
      <c r="F14" s="10">
        <f t="shared" ca="1" si="0"/>
        <v>125</v>
      </c>
    </row>
    <row r="15" spans="1:9" x14ac:dyDescent="0.25">
      <c r="A15" s="14">
        <v>14</v>
      </c>
      <c r="B15" s="14" t="s">
        <v>95</v>
      </c>
      <c r="C15" s="27"/>
      <c r="F15" s="10">
        <f t="shared" ca="1" si="0"/>
        <v>125</v>
      </c>
    </row>
    <row r="16" spans="1:9" x14ac:dyDescent="0.25">
      <c r="A16" s="14">
        <v>15</v>
      </c>
      <c r="B16" s="14" t="s">
        <v>96</v>
      </c>
      <c r="C16" s="27"/>
      <c r="F16" s="10">
        <f t="shared" ca="1" si="0"/>
        <v>125</v>
      </c>
    </row>
    <row r="17" spans="1:6" x14ac:dyDescent="0.25">
      <c r="A17" s="14">
        <v>16</v>
      </c>
      <c r="B17" s="14" t="s">
        <v>97</v>
      </c>
      <c r="C17" s="27"/>
      <c r="F17" s="10">
        <f t="shared" ca="1" si="0"/>
        <v>125</v>
      </c>
    </row>
    <row r="18" spans="1:6" x14ac:dyDescent="0.25">
      <c r="A18" s="14">
        <v>17</v>
      </c>
      <c r="B18" s="14" t="s">
        <v>98</v>
      </c>
      <c r="C18" s="27"/>
      <c r="F18" s="10">
        <f t="shared" ca="1" si="0"/>
        <v>125</v>
      </c>
    </row>
    <row r="19" spans="1:6" x14ac:dyDescent="0.25">
      <c r="A19" s="14">
        <v>18</v>
      </c>
      <c r="B19" s="14" t="s">
        <v>99</v>
      </c>
      <c r="C19" s="27"/>
      <c r="F19" s="10">
        <f t="shared" ca="1" si="0"/>
        <v>125</v>
      </c>
    </row>
    <row r="20" spans="1:6" x14ac:dyDescent="0.25">
      <c r="A20" s="14">
        <v>19</v>
      </c>
      <c r="B20" s="14" t="s">
        <v>100</v>
      </c>
      <c r="C20" s="27"/>
      <c r="F20" s="10">
        <f t="shared" ca="1" si="0"/>
        <v>125</v>
      </c>
    </row>
    <row r="21" spans="1:6" x14ac:dyDescent="0.25">
      <c r="A21" s="14">
        <v>20</v>
      </c>
      <c r="B21" s="14" t="s">
        <v>101</v>
      </c>
      <c r="C21" s="27"/>
      <c r="F21" s="10">
        <f t="shared" ca="1" si="0"/>
        <v>125</v>
      </c>
    </row>
    <row r="22" spans="1:6" x14ac:dyDescent="0.25">
      <c r="A22" s="14">
        <v>21</v>
      </c>
      <c r="B22" s="14" t="s">
        <v>102</v>
      </c>
      <c r="C22" s="27"/>
      <c r="F22" s="10">
        <f t="shared" ca="1" si="0"/>
        <v>125</v>
      </c>
    </row>
    <row r="23" spans="1:6" x14ac:dyDescent="0.25">
      <c r="A23" s="14">
        <v>22</v>
      </c>
      <c r="B23" s="14" t="s">
        <v>103</v>
      </c>
      <c r="C23" s="27"/>
      <c r="F23" s="10">
        <f t="shared" ca="1" si="0"/>
        <v>125</v>
      </c>
    </row>
    <row r="24" spans="1:6" x14ac:dyDescent="0.25">
      <c r="A24" s="14">
        <v>23</v>
      </c>
      <c r="B24" s="14" t="s">
        <v>104</v>
      </c>
      <c r="C24" s="27"/>
      <c r="F24" s="10">
        <f t="shared" ca="1" si="0"/>
        <v>125</v>
      </c>
    </row>
    <row r="25" spans="1:6" x14ac:dyDescent="0.25">
      <c r="A25" s="14">
        <v>24</v>
      </c>
      <c r="B25" s="14" t="s">
        <v>105</v>
      </c>
      <c r="C25" s="27"/>
      <c r="F25" s="10">
        <f t="shared" ca="1" si="0"/>
        <v>125</v>
      </c>
    </row>
    <row r="26" spans="1:6" x14ac:dyDescent="0.25">
      <c r="A26" s="14">
        <v>25</v>
      </c>
      <c r="B26" s="14" t="s">
        <v>106</v>
      </c>
      <c r="C26" s="27"/>
      <c r="F26" s="10">
        <f t="shared" ca="1" si="0"/>
        <v>125</v>
      </c>
    </row>
    <row r="27" spans="1:6" x14ac:dyDescent="0.25">
      <c r="A27" s="14">
        <v>26</v>
      </c>
      <c r="B27" s="14" t="s">
        <v>107</v>
      </c>
      <c r="C27" s="27"/>
      <c r="F27" s="10">
        <f t="shared" ca="1" si="0"/>
        <v>125</v>
      </c>
    </row>
    <row r="28" spans="1:6" x14ac:dyDescent="0.25">
      <c r="A28" s="14">
        <v>27</v>
      </c>
      <c r="B28" s="14" t="s">
        <v>108</v>
      </c>
      <c r="C28" s="27"/>
      <c r="F28" s="10">
        <f t="shared" ca="1" si="0"/>
        <v>125</v>
      </c>
    </row>
    <row r="29" spans="1:6" x14ac:dyDescent="0.25">
      <c r="A29" s="14">
        <v>28</v>
      </c>
      <c r="B29" s="14" t="s">
        <v>109</v>
      </c>
      <c r="C29" s="27"/>
      <c r="F29" s="10">
        <f t="shared" ca="1" si="0"/>
        <v>125</v>
      </c>
    </row>
    <row r="30" spans="1:6" x14ac:dyDescent="0.25">
      <c r="A30" s="14">
        <v>29</v>
      </c>
      <c r="B30" s="14" t="s">
        <v>110</v>
      </c>
      <c r="C30" s="27"/>
      <c r="F30" s="10">
        <f t="shared" ca="1" si="0"/>
        <v>125</v>
      </c>
    </row>
    <row r="31" spans="1:6" x14ac:dyDescent="0.25">
      <c r="A31" s="14">
        <v>30</v>
      </c>
      <c r="B31" s="14" t="s">
        <v>111</v>
      </c>
      <c r="C31" s="27"/>
      <c r="F31" s="10">
        <f t="shared" ca="1" si="0"/>
        <v>125</v>
      </c>
    </row>
    <row r="32" spans="1:6" x14ac:dyDescent="0.25">
      <c r="A32" s="14">
        <v>31</v>
      </c>
      <c r="B32" s="14" t="s">
        <v>112</v>
      </c>
      <c r="C32" s="27"/>
      <c r="F32" s="10">
        <f t="shared" ca="1" si="0"/>
        <v>125</v>
      </c>
    </row>
    <row r="33" spans="1:6" x14ac:dyDescent="0.25">
      <c r="A33" s="14">
        <v>32</v>
      </c>
      <c r="B33" s="14" t="s">
        <v>113</v>
      </c>
      <c r="C33" s="27"/>
      <c r="F33" s="10">
        <f t="shared" ca="1" si="0"/>
        <v>125</v>
      </c>
    </row>
    <row r="34" spans="1:6" x14ac:dyDescent="0.25">
      <c r="A34" s="14">
        <v>33</v>
      </c>
      <c r="B34" s="14" t="s">
        <v>114</v>
      </c>
      <c r="C34" s="27"/>
      <c r="F34" s="10">
        <f t="shared" ca="1" si="0"/>
        <v>125</v>
      </c>
    </row>
    <row r="35" spans="1:6" x14ac:dyDescent="0.25">
      <c r="A35" s="14">
        <v>34</v>
      </c>
      <c r="B35" s="14" t="s">
        <v>115</v>
      </c>
      <c r="C35" s="27"/>
      <c r="F35" s="10">
        <f t="shared" ca="1" si="0"/>
        <v>125</v>
      </c>
    </row>
    <row r="36" spans="1:6" x14ac:dyDescent="0.25">
      <c r="A36" s="14">
        <v>35</v>
      </c>
      <c r="B36" s="14" t="s">
        <v>116</v>
      </c>
      <c r="C36" s="27"/>
      <c r="F36" s="10">
        <f t="shared" ca="1" si="0"/>
        <v>125</v>
      </c>
    </row>
    <row r="37" spans="1:6" x14ac:dyDescent="0.25">
      <c r="A37" s="14">
        <v>36</v>
      </c>
      <c r="B37" s="14" t="s">
        <v>117</v>
      </c>
      <c r="C37" s="27"/>
      <c r="F37" s="10">
        <f t="shared" ca="1" si="0"/>
        <v>125</v>
      </c>
    </row>
    <row r="38" spans="1:6" x14ac:dyDescent="0.25">
      <c r="A38" s="14">
        <v>37</v>
      </c>
      <c r="B38" s="14" t="s">
        <v>118</v>
      </c>
      <c r="C38" s="27"/>
      <c r="F38" s="10">
        <f t="shared" ca="1" si="0"/>
        <v>125</v>
      </c>
    </row>
    <row r="39" spans="1:6" x14ac:dyDescent="0.25">
      <c r="A39" s="14">
        <v>38</v>
      </c>
      <c r="B39" s="14" t="s">
        <v>119</v>
      </c>
      <c r="C39" s="27"/>
      <c r="F39" s="10">
        <f t="shared" ca="1" si="0"/>
        <v>125</v>
      </c>
    </row>
    <row r="40" spans="1:6" x14ac:dyDescent="0.25">
      <c r="A40" s="14">
        <v>39</v>
      </c>
      <c r="B40" s="14" t="s">
        <v>120</v>
      </c>
      <c r="C40" s="27"/>
      <c r="F40" s="10">
        <f t="shared" ca="1" si="0"/>
        <v>125</v>
      </c>
    </row>
    <row r="41" spans="1:6" x14ac:dyDescent="0.25">
      <c r="A41" s="14">
        <v>40</v>
      </c>
      <c r="B41" s="14" t="s">
        <v>121</v>
      </c>
      <c r="C41" s="27"/>
      <c r="F41" s="10">
        <f t="shared" ca="1" si="0"/>
        <v>125</v>
      </c>
    </row>
    <row r="42" spans="1:6" x14ac:dyDescent="0.25">
      <c r="A42" s="14">
        <v>41</v>
      </c>
      <c r="B42" s="14" t="s">
        <v>122</v>
      </c>
      <c r="C42" s="27"/>
      <c r="F42" s="10">
        <f t="shared" ca="1" si="0"/>
        <v>125</v>
      </c>
    </row>
    <row r="43" spans="1:6" x14ac:dyDescent="0.25">
      <c r="A43" s="14">
        <v>42</v>
      </c>
      <c r="B43" s="14" t="s">
        <v>123</v>
      </c>
      <c r="C43" s="27"/>
      <c r="F43" s="10">
        <f t="shared" ca="1" si="0"/>
        <v>125</v>
      </c>
    </row>
    <row r="44" spans="1:6" x14ac:dyDescent="0.25">
      <c r="A44" s="14">
        <v>43</v>
      </c>
      <c r="B44" s="14" t="s">
        <v>124</v>
      </c>
      <c r="C44" s="27"/>
      <c r="F44" s="10">
        <f t="shared" ca="1" si="0"/>
        <v>125</v>
      </c>
    </row>
    <row r="45" spans="1:6" x14ac:dyDescent="0.25">
      <c r="A45" s="14">
        <v>44</v>
      </c>
      <c r="B45" s="14" t="s">
        <v>125</v>
      </c>
      <c r="C45" s="27"/>
      <c r="F45" s="10">
        <f t="shared" ca="1" si="0"/>
        <v>125</v>
      </c>
    </row>
    <row r="46" spans="1:6" x14ac:dyDescent="0.25">
      <c r="A46" s="14">
        <v>45</v>
      </c>
      <c r="B46" s="14" t="s">
        <v>126</v>
      </c>
      <c r="C46" s="27"/>
      <c r="F46" s="10">
        <f t="shared" ca="1" si="0"/>
        <v>125</v>
      </c>
    </row>
    <row r="47" spans="1:6" x14ac:dyDescent="0.25">
      <c r="A47" s="14">
        <v>46</v>
      </c>
      <c r="B47" s="14" t="s">
        <v>127</v>
      </c>
      <c r="C47" s="27"/>
      <c r="F47" s="10">
        <f t="shared" ca="1" si="0"/>
        <v>125</v>
      </c>
    </row>
    <row r="48" spans="1:6" x14ac:dyDescent="0.25">
      <c r="A48" s="14">
        <v>47</v>
      </c>
      <c r="B48" s="14" t="s">
        <v>128</v>
      </c>
      <c r="C48" s="27"/>
      <c r="F48" s="10">
        <f t="shared" ca="1" si="0"/>
        <v>125</v>
      </c>
    </row>
    <row r="49" spans="1:6" x14ac:dyDescent="0.25">
      <c r="A49" s="14">
        <v>48</v>
      </c>
      <c r="B49" s="14" t="s">
        <v>129</v>
      </c>
      <c r="C49" s="27"/>
      <c r="F49" s="10">
        <f t="shared" ca="1" si="0"/>
        <v>125</v>
      </c>
    </row>
    <row r="50" spans="1:6" x14ac:dyDescent="0.25">
      <c r="A50" s="14">
        <v>49</v>
      </c>
      <c r="B50" s="14" t="s">
        <v>130</v>
      </c>
      <c r="C50" s="27"/>
      <c r="F50" s="10">
        <f t="shared" ca="1" si="0"/>
        <v>125</v>
      </c>
    </row>
    <row r="51" spans="1:6" x14ac:dyDescent="0.25">
      <c r="A51" s="14">
        <v>50</v>
      </c>
      <c r="B51" s="14" t="s">
        <v>131</v>
      </c>
      <c r="C51" s="27"/>
      <c r="F51" s="10">
        <f t="shared" ca="1" si="0"/>
        <v>125</v>
      </c>
    </row>
    <row r="52" spans="1:6" x14ac:dyDescent="0.25">
      <c r="A52" s="14">
        <v>51</v>
      </c>
      <c r="B52" s="14" t="s">
        <v>132</v>
      </c>
      <c r="C52" s="27"/>
      <c r="F52" s="10">
        <f t="shared" ca="1" si="0"/>
        <v>125</v>
      </c>
    </row>
    <row r="53" spans="1:6" x14ac:dyDescent="0.25">
      <c r="A53" s="14">
        <v>52</v>
      </c>
      <c r="B53" s="14" t="s">
        <v>133</v>
      </c>
      <c r="C53" s="27"/>
      <c r="F53" s="10">
        <f t="shared" ca="1" si="0"/>
        <v>125</v>
      </c>
    </row>
    <row r="54" spans="1:6" x14ac:dyDescent="0.25">
      <c r="A54" s="14">
        <v>53</v>
      </c>
      <c r="B54" s="14" t="s">
        <v>134</v>
      </c>
      <c r="C54" s="27"/>
      <c r="F54" s="10">
        <f t="shared" ca="1" si="0"/>
        <v>125</v>
      </c>
    </row>
    <row r="55" spans="1:6" x14ac:dyDescent="0.25">
      <c r="A55" s="14">
        <v>54</v>
      </c>
      <c r="B55" s="14" t="s">
        <v>135</v>
      </c>
      <c r="C55" s="27"/>
      <c r="F55" s="10">
        <f t="shared" ca="1" si="0"/>
        <v>125</v>
      </c>
    </row>
    <row r="56" spans="1:6" x14ac:dyDescent="0.25">
      <c r="A56" s="14">
        <v>55</v>
      </c>
      <c r="B56" s="14" t="s">
        <v>136</v>
      </c>
      <c r="C56" s="27"/>
      <c r="F56" s="10">
        <f t="shared" ca="1" si="0"/>
        <v>125</v>
      </c>
    </row>
    <row r="57" spans="1:6" x14ac:dyDescent="0.25">
      <c r="A57" s="14">
        <v>56</v>
      </c>
      <c r="B57" s="14" t="s">
        <v>137</v>
      </c>
      <c r="C57" s="27"/>
      <c r="F57" s="10">
        <f t="shared" ca="1" si="0"/>
        <v>125</v>
      </c>
    </row>
    <row r="58" spans="1:6" x14ac:dyDescent="0.25">
      <c r="A58" s="14">
        <v>57</v>
      </c>
      <c r="B58" s="14" t="s">
        <v>138</v>
      </c>
      <c r="C58" s="27"/>
      <c r="F58" s="10">
        <f t="shared" ca="1" si="0"/>
        <v>125</v>
      </c>
    </row>
    <row r="59" spans="1:6" x14ac:dyDescent="0.25">
      <c r="A59" s="14">
        <v>58</v>
      </c>
      <c r="B59" s="14" t="s">
        <v>139</v>
      </c>
      <c r="C59" s="27"/>
      <c r="F59" s="10">
        <f t="shared" ca="1" si="0"/>
        <v>125</v>
      </c>
    </row>
    <row r="60" spans="1:6" x14ac:dyDescent="0.25">
      <c r="A60" s="14">
        <v>59</v>
      </c>
      <c r="B60" s="14" t="s">
        <v>140</v>
      </c>
      <c r="C60" s="27"/>
      <c r="F60" s="10">
        <f t="shared" ca="1" si="0"/>
        <v>125</v>
      </c>
    </row>
    <row r="61" spans="1:6" x14ac:dyDescent="0.25">
      <c r="A61" s="14">
        <v>60</v>
      </c>
      <c r="B61" s="14" t="s">
        <v>141</v>
      </c>
      <c r="C61" s="27"/>
      <c r="F61" s="10">
        <f t="shared" ca="1" si="0"/>
        <v>125</v>
      </c>
    </row>
    <row r="62" spans="1:6" x14ac:dyDescent="0.25">
      <c r="A62" s="14">
        <v>61</v>
      </c>
      <c r="B62" s="14" t="s">
        <v>142</v>
      </c>
      <c r="C62" s="27"/>
      <c r="F62" s="10">
        <f t="shared" ca="1" si="0"/>
        <v>125</v>
      </c>
    </row>
    <row r="63" spans="1:6" x14ac:dyDescent="0.25">
      <c r="A63" s="14">
        <v>62</v>
      </c>
      <c r="B63" s="14" t="s">
        <v>143</v>
      </c>
      <c r="C63" s="27"/>
      <c r="F63" s="10">
        <f t="shared" ca="1" si="0"/>
        <v>125</v>
      </c>
    </row>
    <row r="64" spans="1:6" x14ac:dyDescent="0.25">
      <c r="A64" s="14">
        <v>63</v>
      </c>
      <c r="B64" s="14" t="s">
        <v>144</v>
      </c>
      <c r="C64" s="27"/>
      <c r="F64" s="10">
        <f t="shared" ca="1" si="0"/>
        <v>125</v>
      </c>
    </row>
    <row r="65" spans="1:6" x14ac:dyDescent="0.25">
      <c r="A65" s="14">
        <v>64</v>
      </c>
      <c r="B65" s="14" t="s">
        <v>145</v>
      </c>
      <c r="C65" s="27"/>
      <c r="F65" s="10">
        <f t="shared" ca="1" si="0"/>
        <v>125</v>
      </c>
    </row>
    <row r="66" spans="1:6" x14ac:dyDescent="0.25">
      <c r="A66" s="14">
        <v>65</v>
      </c>
      <c r="B66" s="14" t="s">
        <v>146</v>
      </c>
      <c r="C66" s="27"/>
      <c r="F66" s="10">
        <f t="shared" ca="1" si="0"/>
        <v>125</v>
      </c>
    </row>
    <row r="67" spans="1:6" x14ac:dyDescent="0.25">
      <c r="A67" s="14">
        <v>66</v>
      </c>
      <c r="B67" s="14" t="s">
        <v>147</v>
      </c>
      <c r="C67" s="27"/>
      <c r="F67" s="10">
        <f t="shared" ref="F67:F111" ca="1" si="1">DATEDIF(E67, TODAY(), "Y")</f>
        <v>125</v>
      </c>
    </row>
    <row r="68" spans="1:6" x14ac:dyDescent="0.25">
      <c r="A68" s="14">
        <v>67</v>
      </c>
      <c r="B68" s="14" t="s">
        <v>148</v>
      </c>
      <c r="C68" s="27"/>
      <c r="F68" s="10">
        <f t="shared" ca="1" si="1"/>
        <v>125</v>
      </c>
    </row>
    <row r="69" spans="1:6" x14ac:dyDescent="0.25">
      <c r="A69" s="14">
        <v>68</v>
      </c>
      <c r="B69" s="14" t="s">
        <v>149</v>
      </c>
      <c r="C69" s="27"/>
      <c r="F69" s="10">
        <f t="shared" ca="1" si="1"/>
        <v>125</v>
      </c>
    </row>
    <row r="70" spans="1:6" x14ac:dyDescent="0.25">
      <c r="A70" s="14">
        <v>69</v>
      </c>
      <c r="B70" s="14" t="s">
        <v>150</v>
      </c>
      <c r="C70" s="27"/>
      <c r="F70" s="10">
        <f t="shared" ca="1" si="1"/>
        <v>125</v>
      </c>
    </row>
    <row r="71" spans="1:6" x14ac:dyDescent="0.25">
      <c r="A71" s="14">
        <v>70</v>
      </c>
      <c r="B71" s="14" t="s">
        <v>151</v>
      </c>
      <c r="C71" s="27"/>
      <c r="F71" s="10">
        <f t="shared" ca="1" si="1"/>
        <v>125</v>
      </c>
    </row>
    <row r="72" spans="1:6" x14ac:dyDescent="0.25">
      <c r="A72" s="14">
        <v>71</v>
      </c>
      <c r="B72" s="14" t="s">
        <v>152</v>
      </c>
      <c r="C72" s="27"/>
      <c r="F72" s="10">
        <f t="shared" ca="1" si="1"/>
        <v>125</v>
      </c>
    </row>
    <row r="73" spans="1:6" x14ac:dyDescent="0.25">
      <c r="A73" s="14">
        <v>72</v>
      </c>
      <c r="B73" s="14" t="s">
        <v>153</v>
      </c>
      <c r="C73" s="27"/>
      <c r="F73" s="10">
        <f t="shared" ca="1" si="1"/>
        <v>125</v>
      </c>
    </row>
    <row r="74" spans="1:6" x14ac:dyDescent="0.25">
      <c r="A74" s="14">
        <v>73</v>
      </c>
      <c r="B74" s="14" t="s">
        <v>154</v>
      </c>
      <c r="C74" s="27"/>
      <c r="F74" s="10">
        <f t="shared" ca="1" si="1"/>
        <v>125</v>
      </c>
    </row>
    <row r="75" spans="1:6" x14ac:dyDescent="0.25">
      <c r="A75" s="14">
        <v>74</v>
      </c>
      <c r="B75" s="14" t="s">
        <v>155</v>
      </c>
      <c r="C75" s="27"/>
      <c r="F75" s="10">
        <f t="shared" ca="1" si="1"/>
        <v>125</v>
      </c>
    </row>
    <row r="76" spans="1:6" x14ac:dyDescent="0.25">
      <c r="A76" s="14">
        <v>75</v>
      </c>
      <c r="B76" s="14" t="s">
        <v>156</v>
      </c>
      <c r="C76" s="27"/>
      <c r="F76" s="10">
        <f t="shared" ca="1" si="1"/>
        <v>125</v>
      </c>
    </row>
    <row r="77" spans="1:6" x14ac:dyDescent="0.25">
      <c r="A77" s="14">
        <v>76</v>
      </c>
      <c r="B77" s="14" t="s">
        <v>157</v>
      </c>
      <c r="C77" s="27"/>
      <c r="F77" s="10">
        <f t="shared" ca="1" si="1"/>
        <v>125</v>
      </c>
    </row>
    <row r="78" spans="1:6" x14ac:dyDescent="0.25">
      <c r="A78" s="14">
        <v>77</v>
      </c>
      <c r="B78" s="14" t="s">
        <v>158</v>
      </c>
      <c r="C78" s="27"/>
      <c r="F78" s="10">
        <f t="shared" ca="1" si="1"/>
        <v>125</v>
      </c>
    </row>
    <row r="79" spans="1:6" x14ac:dyDescent="0.25">
      <c r="A79" s="14">
        <v>78</v>
      </c>
      <c r="B79" s="14" t="s">
        <v>159</v>
      </c>
      <c r="C79" s="27"/>
      <c r="F79" s="10">
        <f t="shared" ca="1" si="1"/>
        <v>125</v>
      </c>
    </row>
    <row r="80" spans="1:6" x14ac:dyDescent="0.25">
      <c r="A80" s="14">
        <v>79</v>
      </c>
      <c r="B80" s="14" t="s">
        <v>160</v>
      </c>
      <c r="C80" s="27"/>
      <c r="F80" s="10">
        <f t="shared" ca="1" si="1"/>
        <v>125</v>
      </c>
    </row>
    <row r="81" spans="1:6" x14ac:dyDescent="0.25">
      <c r="A81" s="14">
        <v>80</v>
      </c>
      <c r="B81" s="14" t="s">
        <v>161</v>
      </c>
      <c r="C81" s="27"/>
      <c r="F81" s="10">
        <f t="shared" ca="1" si="1"/>
        <v>125</v>
      </c>
    </row>
    <row r="82" spans="1:6" x14ac:dyDescent="0.25">
      <c r="A82" s="14">
        <v>81</v>
      </c>
      <c r="B82" s="14" t="s">
        <v>162</v>
      </c>
      <c r="C82" s="27"/>
      <c r="F82" s="10">
        <f t="shared" ca="1" si="1"/>
        <v>125</v>
      </c>
    </row>
    <row r="83" spans="1:6" x14ac:dyDescent="0.25">
      <c r="A83" s="14">
        <v>82</v>
      </c>
      <c r="B83" s="14" t="s">
        <v>163</v>
      </c>
      <c r="C83" s="27"/>
      <c r="F83" s="10">
        <f t="shared" ca="1" si="1"/>
        <v>125</v>
      </c>
    </row>
    <row r="84" spans="1:6" x14ac:dyDescent="0.25">
      <c r="A84" s="14">
        <v>83</v>
      </c>
      <c r="B84" s="14" t="s">
        <v>164</v>
      </c>
      <c r="C84" s="27"/>
      <c r="F84" s="10">
        <f t="shared" ca="1" si="1"/>
        <v>125</v>
      </c>
    </row>
    <row r="85" spans="1:6" x14ac:dyDescent="0.25">
      <c r="A85" s="14">
        <v>84</v>
      </c>
      <c r="B85" s="14" t="s">
        <v>165</v>
      </c>
      <c r="C85" s="27"/>
      <c r="F85" s="10">
        <f t="shared" ca="1" si="1"/>
        <v>125</v>
      </c>
    </row>
    <row r="86" spans="1:6" x14ac:dyDescent="0.25">
      <c r="A86" s="14">
        <v>85</v>
      </c>
      <c r="B86" s="14" t="s">
        <v>166</v>
      </c>
      <c r="C86" s="27"/>
      <c r="F86" s="10">
        <f t="shared" ca="1" si="1"/>
        <v>125</v>
      </c>
    </row>
    <row r="87" spans="1:6" x14ac:dyDescent="0.25">
      <c r="A87" s="14">
        <v>86</v>
      </c>
      <c r="B87" s="14" t="s">
        <v>167</v>
      </c>
      <c r="C87" s="27"/>
      <c r="F87" s="10">
        <f t="shared" ca="1" si="1"/>
        <v>125</v>
      </c>
    </row>
    <row r="88" spans="1:6" x14ac:dyDescent="0.25">
      <c r="A88" s="14">
        <v>87</v>
      </c>
      <c r="B88" s="14" t="s">
        <v>168</v>
      </c>
      <c r="C88" s="27"/>
      <c r="F88" s="10">
        <f t="shared" ca="1" si="1"/>
        <v>125</v>
      </c>
    </row>
    <row r="89" spans="1:6" x14ac:dyDescent="0.25">
      <c r="A89" s="14">
        <v>88</v>
      </c>
      <c r="B89" s="14" t="s">
        <v>169</v>
      </c>
      <c r="C89" s="27"/>
      <c r="F89" s="10">
        <f t="shared" ca="1" si="1"/>
        <v>125</v>
      </c>
    </row>
    <row r="90" spans="1:6" x14ac:dyDescent="0.25">
      <c r="A90" s="14">
        <v>89</v>
      </c>
      <c r="B90" s="14" t="s">
        <v>170</v>
      </c>
      <c r="C90" s="27"/>
      <c r="F90" s="10">
        <f t="shared" ca="1" si="1"/>
        <v>125</v>
      </c>
    </row>
    <row r="91" spans="1:6" x14ac:dyDescent="0.25">
      <c r="A91" s="14">
        <v>90</v>
      </c>
      <c r="B91" s="14" t="s">
        <v>171</v>
      </c>
      <c r="C91" s="27"/>
      <c r="F91" s="10">
        <f t="shared" ca="1" si="1"/>
        <v>125</v>
      </c>
    </row>
    <row r="92" spans="1:6" x14ac:dyDescent="0.25">
      <c r="A92" s="14">
        <v>91</v>
      </c>
      <c r="B92" s="14" t="s">
        <v>172</v>
      </c>
      <c r="C92" s="27"/>
      <c r="F92" s="10">
        <f t="shared" ca="1" si="1"/>
        <v>125</v>
      </c>
    </row>
    <row r="93" spans="1:6" x14ac:dyDescent="0.25">
      <c r="A93" s="14">
        <v>92</v>
      </c>
      <c r="B93" s="14" t="s">
        <v>173</v>
      </c>
      <c r="C93" s="27"/>
      <c r="F93" s="10">
        <f t="shared" ca="1" si="1"/>
        <v>125</v>
      </c>
    </row>
    <row r="94" spans="1:6" x14ac:dyDescent="0.25">
      <c r="A94" s="14">
        <v>93</v>
      </c>
      <c r="B94" s="14" t="s">
        <v>174</v>
      </c>
      <c r="C94" s="27"/>
      <c r="F94" s="10">
        <f t="shared" ca="1" si="1"/>
        <v>125</v>
      </c>
    </row>
    <row r="95" spans="1:6" x14ac:dyDescent="0.25">
      <c r="A95" s="14">
        <v>94</v>
      </c>
      <c r="B95" s="14" t="s">
        <v>175</v>
      </c>
      <c r="C95" s="27"/>
      <c r="F95" s="10">
        <f t="shared" ca="1" si="1"/>
        <v>125</v>
      </c>
    </row>
    <row r="96" spans="1:6" x14ac:dyDescent="0.25">
      <c r="A96" s="14">
        <v>95</v>
      </c>
      <c r="B96" s="14" t="s">
        <v>176</v>
      </c>
      <c r="C96" s="27"/>
      <c r="F96" s="10">
        <f t="shared" ca="1" si="1"/>
        <v>125</v>
      </c>
    </row>
    <row r="97" spans="1:6" x14ac:dyDescent="0.25">
      <c r="A97" s="14">
        <v>96</v>
      </c>
      <c r="B97" s="14" t="s">
        <v>177</v>
      </c>
      <c r="C97" s="27"/>
      <c r="F97" s="10">
        <f t="shared" ca="1" si="1"/>
        <v>125</v>
      </c>
    </row>
    <row r="98" spans="1:6" x14ac:dyDescent="0.25">
      <c r="A98" s="14">
        <v>97</v>
      </c>
      <c r="B98" s="14" t="s">
        <v>178</v>
      </c>
      <c r="C98" s="27"/>
      <c r="F98" s="10">
        <f t="shared" ca="1" si="1"/>
        <v>125</v>
      </c>
    </row>
    <row r="99" spans="1:6" x14ac:dyDescent="0.25">
      <c r="A99" s="14">
        <v>98</v>
      </c>
      <c r="B99" s="14" t="s">
        <v>179</v>
      </c>
      <c r="C99" s="27"/>
      <c r="F99" s="10">
        <f t="shared" ca="1" si="1"/>
        <v>125</v>
      </c>
    </row>
    <row r="100" spans="1:6" x14ac:dyDescent="0.25">
      <c r="A100" s="14">
        <v>99</v>
      </c>
      <c r="B100" s="14" t="s">
        <v>180</v>
      </c>
      <c r="C100" s="27"/>
      <c r="F100" s="10">
        <f t="shared" ca="1" si="1"/>
        <v>125</v>
      </c>
    </row>
    <row r="101" spans="1:6" x14ac:dyDescent="0.25">
      <c r="A101" s="14">
        <v>100</v>
      </c>
      <c r="B101" s="14" t="s">
        <v>181</v>
      </c>
      <c r="C101" s="27"/>
      <c r="F101" s="10">
        <f t="shared" ca="1" si="1"/>
        <v>125</v>
      </c>
    </row>
    <row r="102" spans="1:6" x14ac:dyDescent="0.25">
      <c r="A102" s="14">
        <v>101</v>
      </c>
      <c r="B102" s="14" t="s">
        <v>182</v>
      </c>
      <c r="C102" s="27"/>
      <c r="F102" s="10">
        <f t="shared" ca="1" si="1"/>
        <v>125</v>
      </c>
    </row>
    <row r="103" spans="1:6" x14ac:dyDescent="0.25">
      <c r="A103" s="14">
        <v>102</v>
      </c>
      <c r="B103" s="14" t="s">
        <v>183</v>
      </c>
      <c r="C103" s="27"/>
      <c r="F103" s="10">
        <f t="shared" ca="1" si="1"/>
        <v>125</v>
      </c>
    </row>
    <row r="104" spans="1:6" x14ac:dyDescent="0.25">
      <c r="A104" s="14">
        <v>103</v>
      </c>
      <c r="B104" s="14" t="s">
        <v>184</v>
      </c>
      <c r="C104" s="27"/>
      <c r="F104" s="10">
        <f t="shared" ca="1" si="1"/>
        <v>125</v>
      </c>
    </row>
    <row r="105" spans="1:6" x14ac:dyDescent="0.25">
      <c r="A105" s="14">
        <v>104</v>
      </c>
      <c r="B105" s="14" t="s">
        <v>185</v>
      </c>
      <c r="C105" s="27"/>
      <c r="F105" s="10">
        <f t="shared" ca="1" si="1"/>
        <v>125</v>
      </c>
    </row>
    <row r="106" spans="1:6" x14ac:dyDescent="0.25">
      <c r="A106" s="14">
        <v>105</v>
      </c>
      <c r="B106" s="14" t="s">
        <v>186</v>
      </c>
      <c r="C106" s="27"/>
      <c r="F106" s="10">
        <f t="shared" ca="1" si="1"/>
        <v>125</v>
      </c>
    </row>
    <row r="107" spans="1:6" x14ac:dyDescent="0.25">
      <c r="A107" s="14">
        <v>106</v>
      </c>
      <c r="B107" s="14" t="s">
        <v>187</v>
      </c>
      <c r="C107" s="27"/>
      <c r="F107" s="10">
        <f t="shared" ca="1" si="1"/>
        <v>125</v>
      </c>
    </row>
    <row r="108" spans="1:6" x14ac:dyDescent="0.25">
      <c r="A108" s="14">
        <v>107</v>
      </c>
      <c r="B108" s="14" t="s">
        <v>188</v>
      </c>
      <c r="C108" s="27"/>
      <c r="F108" s="10">
        <f t="shared" ca="1" si="1"/>
        <v>125</v>
      </c>
    </row>
    <row r="109" spans="1:6" x14ac:dyDescent="0.25">
      <c r="A109" s="14">
        <v>108</v>
      </c>
      <c r="B109" s="14" t="s">
        <v>189</v>
      </c>
      <c r="C109" s="27"/>
      <c r="F109" s="10">
        <f t="shared" ca="1" si="1"/>
        <v>125</v>
      </c>
    </row>
    <row r="110" spans="1:6" x14ac:dyDescent="0.25">
      <c r="A110" s="14">
        <v>109</v>
      </c>
      <c r="B110" s="14" t="s">
        <v>190</v>
      </c>
      <c r="C110" s="27"/>
      <c r="F110" s="10">
        <f t="shared" ca="1" si="1"/>
        <v>125</v>
      </c>
    </row>
    <row r="111" spans="1:6" x14ac:dyDescent="0.25">
      <c r="A111" s="14">
        <v>110</v>
      </c>
      <c r="B111" s="14" t="s">
        <v>191</v>
      </c>
      <c r="C111" s="27"/>
      <c r="F111" s="10">
        <f t="shared" ca="1" si="1"/>
        <v>125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99DB-5713-4B9C-B05A-94275E1CBECD}">
  <sheetPr codeName="Sheet3">
    <pageSetUpPr fitToPage="1"/>
  </sheetPr>
  <dimension ref="A1:Q42"/>
  <sheetViews>
    <sheetView zoomScaleNormal="100" workbookViewId="0">
      <selection activeCell="P1" sqref="P1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2" t="s">
        <v>198</v>
      </c>
      <c r="B1" s="43"/>
      <c r="C1" s="43"/>
      <c r="D1" s="43"/>
      <c r="E1" s="43"/>
      <c r="F1" s="43"/>
      <c r="G1" s="43"/>
      <c r="H1" s="43"/>
      <c r="I1" s="43"/>
      <c r="J1" s="43"/>
      <c r="K1" s="43"/>
      <c r="N1">
        <v>1</v>
      </c>
      <c r="P1" t="str">
        <f>CONCATENATE(VLOOKUP(N1,DATABASE!A1:I999,4,FALSE)," - UA")</f>
        <v>PAMUGAS, MARK ALFRED - UA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195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201</v>
      </c>
    </row>
    <row r="3" spans="1:17" x14ac:dyDescent="0.25">
      <c r="A3" s="40" t="s">
        <v>196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202</v>
      </c>
    </row>
    <row r="4" spans="1:17" x14ac:dyDescent="0.25">
      <c r="A4" s="40" t="s">
        <v>197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</row>
    <row r="6" spans="1:17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7" ht="15" customHeight="1" x14ac:dyDescent="0.25">
      <c r="A7" s="31" t="s">
        <v>199</v>
      </c>
      <c r="B7" s="48" t="str">
        <f>VLOOKUP(N1,DATABASE!A1:I999,4,FALSE)</f>
        <v>PAMUGAS, MARK ALFRED</v>
      </c>
      <c r="C7" s="48"/>
      <c r="D7" s="48"/>
      <c r="E7" s="48"/>
      <c r="F7" s="30"/>
      <c r="G7" s="30"/>
      <c r="H7" t="s">
        <v>192</v>
      </c>
      <c r="J7" s="46" t="str">
        <f>VLOOKUP(N1,DATABASE!A1:I999,2,FALSE)</f>
        <v>ML-000001</v>
      </c>
      <c r="K7" s="46"/>
    </row>
    <row r="8" spans="1:17" ht="15" customHeight="1" x14ac:dyDescent="0.25">
      <c r="A8" t="s">
        <v>1</v>
      </c>
      <c r="B8" s="46">
        <f ca="1">VLOOKUP(N1,DATABASE!A1:I999,6,FALSE)</f>
        <v>27</v>
      </c>
      <c r="C8" s="46"/>
      <c r="D8" s="46"/>
      <c r="E8" s="46"/>
      <c r="F8" s="28"/>
      <c r="G8" s="28"/>
      <c r="H8" s="47" t="s">
        <v>35</v>
      </c>
      <c r="I8" s="47"/>
      <c r="J8" s="46" t="str">
        <f>VLOOKUP(N1,DATABASE!A1:I999,7,FALSE)</f>
        <v>MALE</v>
      </c>
      <c r="K8" s="46"/>
      <c r="L8" s="15"/>
    </row>
    <row r="9" spans="1:17" ht="15" customHeight="1" x14ac:dyDescent="0.25">
      <c r="A9" t="s">
        <v>200</v>
      </c>
      <c r="B9" s="49" t="str">
        <f>TEXT(VLOOKUP(N1,DATABASE!A1:I999,5,FALSE),"mmmm d, yyyy")</f>
        <v>July 3, 1997</v>
      </c>
      <c r="C9" s="49"/>
      <c r="D9" s="49"/>
      <c r="E9" s="49"/>
      <c r="F9" s="28"/>
      <c r="G9" s="28"/>
      <c r="H9" t="s">
        <v>34</v>
      </c>
      <c r="J9" s="46" t="str">
        <f>IFERROR(IF(VLOOKUP(N2,DATABASE!A2:I1000,9,FALSE)=0,"",VLOOKUP(N2,DATABASE!A2:I1000,9,FALSE)),"")</f>
        <v/>
      </c>
      <c r="K9" s="46"/>
      <c r="L9" s="15"/>
    </row>
    <row r="10" spans="1:17" x14ac:dyDescent="0.25">
      <c r="A10" t="s">
        <v>0</v>
      </c>
      <c r="B10" s="46" t="str">
        <f>VLOOKUP(N1,DATABASE!A1:I999,8,FALSE)</f>
        <v>MANILA</v>
      </c>
      <c r="C10" s="46"/>
      <c r="D10" s="46"/>
      <c r="E10" s="46"/>
      <c r="H10" t="s">
        <v>36</v>
      </c>
      <c r="J10" s="29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41" t="s">
        <v>52</v>
      </c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39" t="s">
        <v>37</v>
      </c>
      <c r="B16" s="40"/>
      <c r="C16" s="40"/>
      <c r="D16" s="40"/>
      <c r="E16" s="40"/>
      <c r="F16" s="1"/>
      <c r="G16" s="40" t="s">
        <v>4</v>
      </c>
      <c r="H16" s="40"/>
      <c r="I16" s="40"/>
      <c r="J16" s="40"/>
      <c r="K16" s="24"/>
    </row>
    <row r="17" spans="1:11" x14ac:dyDescent="0.25">
      <c r="A17" s="35" t="s">
        <v>38</v>
      </c>
      <c r="B17" s="34"/>
      <c r="C17" s="34"/>
      <c r="D17" s="34"/>
      <c r="E17" s="34"/>
      <c r="G17" s="36"/>
      <c r="H17" s="36"/>
      <c r="I17" s="36"/>
      <c r="J17" s="36"/>
      <c r="K17" s="7"/>
    </row>
    <row r="18" spans="1:11" x14ac:dyDescent="0.25">
      <c r="A18" s="6"/>
      <c r="K18" s="7"/>
    </row>
    <row r="19" spans="1:11" x14ac:dyDescent="0.25">
      <c r="A19" s="35" t="s">
        <v>39</v>
      </c>
      <c r="B19" s="34"/>
      <c r="C19" s="34"/>
      <c r="D19" s="34"/>
      <c r="E19" s="34"/>
      <c r="G19" s="36"/>
      <c r="H19" s="36"/>
      <c r="I19" s="36"/>
      <c r="J19" s="36"/>
      <c r="K19" s="7"/>
    </row>
    <row r="20" spans="1:11" x14ac:dyDescent="0.25">
      <c r="A20" s="35" t="s">
        <v>40</v>
      </c>
      <c r="B20" s="34"/>
      <c r="C20" s="34"/>
      <c r="D20" s="34"/>
      <c r="E20" s="34"/>
      <c r="G20" s="36"/>
      <c r="H20" s="36"/>
      <c r="I20" s="36"/>
      <c r="J20" s="36"/>
      <c r="K20" s="7"/>
    </row>
    <row r="21" spans="1:11" x14ac:dyDescent="0.25">
      <c r="A21" s="35" t="s">
        <v>41</v>
      </c>
      <c r="B21" s="34"/>
      <c r="C21" s="34"/>
      <c r="D21" s="34"/>
      <c r="E21" s="34"/>
      <c r="G21" s="36"/>
      <c r="H21" s="36"/>
      <c r="I21" s="36"/>
      <c r="J21" s="36"/>
      <c r="K21" s="7"/>
    </row>
    <row r="22" spans="1:11" x14ac:dyDescent="0.25">
      <c r="A22" s="6"/>
      <c r="K22" s="7"/>
    </row>
    <row r="23" spans="1:11" x14ac:dyDescent="0.25">
      <c r="A23" s="39" t="s">
        <v>42</v>
      </c>
      <c r="B23" s="40"/>
      <c r="C23" s="40"/>
      <c r="D23" s="40"/>
      <c r="E23" s="40"/>
      <c r="K23" s="7"/>
    </row>
    <row r="24" spans="1:11" x14ac:dyDescent="0.25">
      <c r="A24" s="35" t="s">
        <v>43</v>
      </c>
      <c r="B24" s="34"/>
      <c r="C24" s="34"/>
      <c r="D24" s="34"/>
      <c r="E24" s="34"/>
      <c r="G24" s="36"/>
      <c r="H24" s="36"/>
      <c r="I24" s="36"/>
      <c r="J24" s="36"/>
      <c r="K24" s="7"/>
    </row>
    <row r="25" spans="1:11" x14ac:dyDescent="0.25">
      <c r="A25" s="35" t="s">
        <v>44</v>
      </c>
      <c r="B25" s="34"/>
      <c r="C25" s="34"/>
      <c r="D25" s="34"/>
      <c r="E25" s="34"/>
      <c r="G25" s="36"/>
      <c r="H25" s="36"/>
      <c r="I25" s="36"/>
      <c r="J25" s="36"/>
      <c r="K25" s="7"/>
    </row>
    <row r="26" spans="1:11" x14ac:dyDescent="0.25">
      <c r="A26" s="6"/>
      <c r="K26" s="7"/>
    </row>
    <row r="27" spans="1:11" x14ac:dyDescent="0.25">
      <c r="A27" s="39" t="s">
        <v>45</v>
      </c>
      <c r="B27" s="40"/>
      <c r="C27" s="40"/>
      <c r="D27" s="40"/>
      <c r="E27" s="40"/>
      <c r="K27" s="7"/>
    </row>
    <row r="28" spans="1:11" x14ac:dyDescent="0.25">
      <c r="A28" s="35" t="s">
        <v>46</v>
      </c>
      <c r="B28" s="34"/>
      <c r="C28" s="34"/>
      <c r="D28" s="34"/>
      <c r="E28" s="34"/>
      <c r="G28" s="36"/>
      <c r="H28" s="36"/>
      <c r="I28" s="36"/>
      <c r="J28" s="36"/>
      <c r="K28" s="7"/>
    </row>
    <row r="29" spans="1:11" x14ac:dyDescent="0.25">
      <c r="A29" s="35" t="s">
        <v>47</v>
      </c>
      <c r="B29" s="34"/>
      <c r="C29" s="34"/>
      <c r="D29" s="34"/>
      <c r="E29" s="34"/>
      <c r="G29" s="36"/>
      <c r="H29" s="36"/>
      <c r="I29" s="36"/>
      <c r="J29" s="36"/>
      <c r="K29" s="7"/>
    </row>
    <row r="30" spans="1:11" x14ac:dyDescent="0.25">
      <c r="A30" s="35" t="s">
        <v>48</v>
      </c>
      <c r="B30" s="34"/>
      <c r="C30" s="34"/>
      <c r="D30" s="34"/>
      <c r="E30" s="34"/>
      <c r="G30" s="36"/>
      <c r="H30" s="36"/>
      <c r="I30" s="36"/>
      <c r="J30" s="36"/>
      <c r="K30" s="7"/>
    </row>
    <row r="31" spans="1:11" x14ac:dyDescent="0.25">
      <c r="A31" s="35" t="s">
        <v>49</v>
      </c>
      <c r="B31" s="34"/>
      <c r="C31" s="34"/>
      <c r="D31" s="34"/>
      <c r="E31" s="34"/>
      <c r="G31" s="36"/>
      <c r="H31" s="36"/>
      <c r="I31" s="36"/>
      <c r="J31" s="36"/>
      <c r="K31" s="7"/>
    </row>
    <row r="32" spans="1:11" x14ac:dyDescent="0.25">
      <c r="A32" s="35" t="s">
        <v>50</v>
      </c>
      <c r="B32" s="34"/>
      <c r="C32" s="34"/>
      <c r="D32" s="34"/>
      <c r="E32" s="34"/>
      <c r="G32" s="36"/>
      <c r="H32" s="36"/>
      <c r="I32" s="36"/>
      <c r="J32" s="36"/>
      <c r="K32" s="7"/>
    </row>
    <row r="33" spans="1:11" x14ac:dyDescent="0.25">
      <c r="A33" s="35" t="s">
        <v>51</v>
      </c>
      <c r="B33" s="34"/>
      <c r="C33" s="34"/>
      <c r="D33" s="34"/>
      <c r="E33" s="34"/>
      <c r="G33" s="36"/>
      <c r="H33" s="36"/>
      <c r="I33" s="36"/>
      <c r="J33" s="36"/>
      <c r="K33" s="7"/>
    </row>
    <row r="34" spans="1:11" x14ac:dyDescent="0.25">
      <c r="A34" s="22"/>
      <c r="B34" s="11"/>
      <c r="C34" s="11"/>
      <c r="D34" s="11"/>
      <c r="E34" s="11"/>
      <c r="F34" s="2"/>
      <c r="G34" s="11"/>
      <c r="H34" s="11"/>
      <c r="I34" s="11"/>
      <c r="J34" s="11"/>
      <c r="K34" s="23"/>
    </row>
    <row r="35" spans="1:11" x14ac:dyDescent="0.25">
      <c r="A35" s="26" t="s">
        <v>78</v>
      </c>
    </row>
    <row r="39" spans="1:11" ht="24.75" x14ac:dyDescent="0.5">
      <c r="A39" s="37" t="str">
        <f>$J$10</f>
        <v>February 25, 2025</v>
      </c>
      <c r="B39" s="38"/>
      <c r="C39" s="38"/>
      <c r="D39" s="38"/>
      <c r="E39" s="38"/>
      <c r="G39" s="37" t="str">
        <f>$J$10</f>
        <v>February 25, 2025</v>
      </c>
      <c r="H39" s="38"/>
      <c r="I39" s="38"/>
      <c r="J39" s="38"/>
      <c r="K39" s="38"/>
    </row>
    <row r="40" spans="1:11" ht="15" customHeight="1" x14ac:dyDescent="0.25">
      <c r="A40" s="34" t="s">
        <v>28</v>
      </c>
      <c r="B40" s="34"/>
      <c r="C40" s="34"/>
      <c r="D40" s="34"/>
      <c r="E40" s="34"/>
      <c r="G40" s="34" t="s">
        <v>31</v>
      </c>
      <c r="H40" s="34"/>
      <c r="I40" s="34"/>
      <c r="J40" s="34"/>
      <c r="K40" s="34"/>
    </row>
    <row r="41" spans="1:11" x14ac:dyDescent="0.25">
      <c r="A41" s="33" t="s">
        <v>29</v>
      </c>
      <c r="B41" s="33"/>
      <c r="C41" s="33"/>
      <c r="D41" s="33"/>
      <c r="E41" s="33"/>
      <c r="G41" s="33" t="s">
        <v>32</v>
      </c>
      <c r="H41" s="33"/>
      <c r="I41" s="33"/>
      <c r="J41" s="33"/>
      <c r="K41" s="33"/>
    </row>
    <row r="42" spans="1:11" x14ac:dyDescent="0.25">
      <c r="A42" s="34" t="s">
        <v>30</v>
      </c>
      <c r="B42" s="34"/>
      <c r="C42" s="34"/>
      <c r="D42" s="34"/>
      <c r="E42" s="34"/>
      <c r="G42" s="34" t="s">
        <v>33</v>
      </c>
      <c r="H42" s="34"/>
      <c r="I42" s="34"/>
      <c r="J42" s="34"/>
      <c r="K42" s="34"/>
    </row>
  </sheetData>
  <mergeCells count="51">
    <mergeCell ref="B10:E10"/>
    <mergeCell ref="J9:K9"/>
    <mergeCell ref="H8:I8"/>
    <mergeCell ref="B7:E7"/>
    <mergeCell ref="B8:E8"/>
    <mergeCell ref="B9:E9"/>
    <mergeCell ref="J7:K7"/>
    <mergeCell ref="A1:K1"/>
    <mergeCell ref="A2:K2"/>
    <mergeCell ref="A5:K5"/>
    <mergeCell ref="A6:K6"/>
    <mergeCell ref="J8:K8"/>
    <mergeCell ref="A3:K3"/>
    <mergeCell ref="A4:K4"/>
    <mergeCell ref="A32:E32"/>
    <mergeCell ref="G32:J32"/>
    <mergeCell ref="A21:E21"/>
    <mergeCell ref="G21:J21"/>
    <mergeCell ref="A23:E23"/>
    <mergeCell ref="A24:E24"/>
    <mergeCell ref="G24:J24"/>
    <mergeCell ref="A25:E25"/>
    <mergeCell ref="G25:J25"/>
    <mergeCell ref="A28:E28"/>
    <mergeCell ref="G28:J28"/>
    <mergeCell ref="A29:E29"/>
    <mergeCell ref="G29:J29"/>
    <mergeCell ref="A27:E27"/>
    <mergeCell ref="A30:E30"/>
    <mergeCell ref="G30:J30"/>
    <mergeCell ref="A31:E31"/>
    <mergeCell ref="G31:J31"/>
    <mergeCell ref="A19:E19"/>
    <mergeCell ref="G19:J19"/>
    <mergeCell ref="A20:E20"/>
    <mergeCell ref="G20:J20"/>
    <mergeCell ref="A16:E16"/>
    <mergeCell ref="G16:J16"/>
    <mergeCell ref="A17:E17"/>
    <mergeCell ref="G17:J17"/>
    <mergeCell ref="A13:K13"/>
    <mergeCell ref="A41:E41"/>
    <mergeCell ref="G41:K41"/>
    <mergeCell ref="A42:E42"/>
    <mergeCell ref="G42:K42"/>
    <mergeCell ref="A33:E33"/>
    <mergeCell ref="G33:J33"/>
    <mergeCell ref="A39:E39"/>
    <mergeCell ref="G39:K39"/>
    <mergeCell ref="A40:E40"/>
    <mergeCell ref="G40:K40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C0681-A0F6-48B0-BE09-77D38BC48F1D}">
  <sheetPr codeName="Sheet4">
    <pageSetUpPr fitToPage="1"/>
  </sheetPr>
  <dimension ref="A1:Q40"/>
  <sheetViews>
    <sheetView tabSelected="1" zoomScaleNormal="100" workbookViewId="0">
      <selection activeCell="O24" sqref="O24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2" t="s">
        <v>198</v>
      </c>
      <c r="B1" s="43"/>
      <c r="C1" s="43"/>
      <c r="D1" s="43"/>
      <c r="E1" s="43"/>
      <c r="F1" s="43"/>
      <c r="G1" s="43"/>
      <c r="H1" s="43"/>
      <c r="I1" s="43"/>
      <c r="J1" s="43"/>
      <c r="K1" s="43"/>
      <c r="N1">
        <v>1</v>
      </c>
      <c r="P1" t="str">
        <f>CONCATENATE(VLOOKUP(N1,DATABASE!A1:I999,4,FALSE)," - CBC")</f>
        <v>PAMUGAS, MARK ALFRED - CBC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195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201</v>
      </c>
    </row>
    <row r="3" spans="1:17" x14ac:dyDescent="0.25">
      <c r="A3" s="40" t="s">
        <v>196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202</v>
      </c>
    </row>
    <row r="4" spans="1:17" x14ac:dyDescent="0.25">
      <c r="A4" s="40" t="s">
        <v>197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</row>
    <row r="6" spans="1:17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7" ht="15" customHeight="1" x14ac:dyDescent="0.25">
      <c r="A7" s="31" t="s">
        <v>199</v>
      </c>
      <c r="B7" s="48" t="str">
        <f>VLOOKUP(N1,DATABASE!A1:I999,4,FALSE)</f>
        <v>PAMUGAS, MARK ALFRED</v>
      </c>
      <c r="C7" s="48"/>
      <c r="D7" s="48"/>
      <c r="E7" s="48"/>
      <c r="F7" s="30"/>
      <c r="G7" s="30"/>
      <c r="H7" t="s">
        <v>192</v>
      </c>
      <c r="J7" s="46" t="str">
        <f>VLOOKUP(N1,DATABASE!A1:I999,2,FALSE)</f>
        <v>ML-000001</v>
      </c>
      <c r="K7" s="46"/>
    </row>
    <row r="8" spans="1:17" ht="15" customHeight="1" x14ac:dyDescent="0.25">
      <c r="A8" t="s">
        <v>1</v>
      </c>
      <c r="B8" s="46">
        <f ca="1">VLOOKUP(N1,DATABASE!A1:I999,6,FALSE)</f>
        <v>27</v>
      </c>
      <c r="C8" s="46"/>
      <c r="D8" s="46"/>
      <c r="E8" s="46"/>
      <c r="F8" s="28"/>
      <c r="G8" s="28"/>
      <c r="H8" s="47" t="s">
        <v>35</v>
      </c>
      <c r="I8" s="47"/>
      <c r="J8" s="46" t="str">
        <f>VLOOKUP(N1,DATABASE!A1:I999,7,FALSE)</f>
        <v>MALE</v>
      </c>
      <c r="K8" s="46"/>
      <c r="L8" s="15"/>
    </row>
    <row r="9" spans="1:17" ht="15" customHeight="1" x14ac:dyDescent="0.25">
      <c r="A9" t="s">
        <v>200</v>
      </c>
      <c r="B9" s="49" t="str">
        <f>TEXT(VLOOKUP(N1,DATABASE!A1:I999,5,FALSE),"mmmm d, yyyy")</f>
        <v>July 3, 1997</v>
      </c>
      <c r="C9" s="49"/>
      <c r="D9" s="49"/>
      <c r="E9" s="49"/>
      <c r="F9" s="28"/>
      <c r="G9" s="28"/>
      <c r="H9" t="s">
        <v>34</v>
      </c>
      <c r="J9" s="46" t="str">
        <f>IFERROR(IF(VLOOKUP(N2,DATABASE!A2:I1000,9,FALSE)=0,"",VLOOKUP(N2,DATABASE!A2:I1000,9,FALSE)),"")</f>
        <v/>
      </c>
      <c r="K9" s="46"/>
      <c r="L9" s="15"/>
    </row>
    <row r="10" spans="1:17" x14ac:dyDescent="0.25">
      <c r="A10" t="s">
        <v>0</v>
      </c>
      <c r="B10" s="46" t="str">
        <f>VLOOKUP(N1,DATABASE!A1:I999,8,FALSE)</f>
        <v>MANILA</v>
      </c>
      <c r="C10" s="46"/>
      <c r="D10" s="46"/>
      <c r="E10" s="46"/>
      <c r="H10" t="s">
        <v>36</v>
      </c>
      <c r="J10" s="29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41" t="s">
        <v>2</v>
      </c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39" t="s">
        <v>3</v>
      </c>
      <c r="B16" s="40"/>
      <c r="C16" s="40"/>
      <c r="E16" s="40" t="s">
        <v>4</v>
      </c>
      <c r="F16" s="40"/>
      <c r="G16" s="40"/>
      <c r="H16" s="16"/>
      <c r="I16" s="40" t="s">
        <v>27</v>
      </c>
      <c r="J16" s="40"/>
      <c r="K16" s="54"/>
    </row>
    <row r="17" spans="1:11" x14ac:dyDescent="0.25">
      <c r="A17" s="21" t="s">
        <v>9</v>
      </c>
      <c r="B17" s="17"/>
      <c r="E17" s="36"/>
      <c r="F17" s="36"/>
      <c r="G17" s="36"/>
      <c r="H17" s="14"/>
      <c r="I17" s="50" t="s">
        <v>8</v>
      </c>
      <c r="J17" s="50"/>
      <c r="K17" s="51"/>
    </row>
    <row r="18" spans="1:11" x14ac:dyDescent="0.25">
      <c r="A18" s="21"/>
      <c r="B18" s="17"/>
      <c r="I18" s="50" t="s">
        <v>5</v>
      </c>
      <c r="J18" s="50"/>
      <c r="K18" s="51"/>
    </row>
    <row r="19" spans="1:11" x14ac:dyDescent="0.25">
      <c r="A19" s="21" t="s">
        <v>11</v>
      </c>
      <c r="B19" s="17"/>
      <c r="E19" s="36"/>
      <c r="F19" s="36"/>
      <c r="G19" s="36"/>
      <c r="H19" s="14"/>
      <c r="I19" s="50" t="s">
        <v>10</v>
      </c>
      <c r="J19" s="50"/>
      <c r="K19" s="51"/>
    </row>
    <row r="20" spans="1:11" x14ac:dyDescent="0.25">
      <c r="A20" s="21"/>
      <c r="B20" s="17"/>
      <c r="I20" s="50" t="s">
        <v>6</v>
      </c>
      <c r="J20" s="50"/>
      <c r="K20" s="51"/>
    </row>
    <row r="21" spans="1:11" x14ac:dyDescent="0.25">
      <c r="A21" s="21" t="s">
        <v>13</v>
      </c>
      <c r="B21" s="17"/>
      <c r="E21" s="36"/>
      <c r="F21" s="36"/>
      <c r="G21" s="36"/>
      <c r="H21" s="14"/>
      <c r="I21" s="50" t="s">
        <v>12</v>
      </c>
      <c r="J21" s="50"/>
      <c r="K21" s="51"/>
    </row>
    <row r="22" spans="1:11" x14ac:dyDescent="0.25">
      <c r="A22" s="21"/>
      <c r="B22" s="17"/>
      <c r="I22" s="50" t="s">
        <v>7</v>
      </c>
      <c r="J22" s="50"/>
      <c r="K22" s="51"/>
    </row>
    <row r="23" spans="1:11" x14ac:dyDescent="0.25">
      <c r="A23" s="21" t="s">
        <v>15</v>
      </c>
      <c r="B23" s="17"/>
      <c r="E23" s="36"/>
      <c r="F23" s="36"/>
      <c r="G23" s="36"/>
      <c r="H23" s="14"/>
      <c r="I23" s="50" t="s">
        <v>14</v>
      </c>
      <c r="J23" s="50"/>
      <c r="K23" s="51"/>
    </row>
    <row r="24" spans="1:11" x14ac:dyDescent="0.25">
      <c r="A24" s="21"/>
      <c r="B24" s="17"/>
      <c r="I24" s="17"/>
      <c r="J24" s="17"/>
      <c r="K24" s="18"/>
    </row>
    <row r="25" spans="1:11" x14ac:dyDescent="0.25">
      <c r="A25" s="21" t="s">
        <v>16</v>
      </c>
      <c r="B25" s="17"/>
      <c r="I25" s="17"/>
      <c r="J25" s="17"/>
      <c r="K25" s="18"/>
    </row>
    <row r="26" spans="1:11" x14ac:dyDescent="0.25">
      <c r="A26" s="21"/>
      <c r="B26" s="17" t="s">
        <v>21</v>
      </c>
      <c r="E26" s="36"/>
      <c r="F26" s="36"/>
      <c r="G26" s="36"/>
      <c r="H26" s="14"/>
      <c r="I26" s="34" t="s">
        <v>17</v>
      </c>
      <c r="J26" s="34"/>
      <c r="K26" s="52"/>
    </row>
    <row r="27" spans="1:11" x14ac:dyDescent="0.25">
      <c r="A27" s="21"/>
      <c r="B27" s="17" t="s">
        <v>22</v>
      </c>
      <c r="E27" s="53"/>
      <c r="F27" s="53"/>
      <c r="G27" s="53"/>
      <c r="H27" s="14"/>
      <c r="I27" s="34" t="s">
        <v>18</v>
      </c>
      <c r="J27" s="34"/>
      <c r="K27" s="52"/>
    </row>
    <row r="28" spans="1:11" x14ac:dyDescent="0.25">
      <c r="A28" s="21"/>
      <c r="B28" s="17" t="s">
        <v>23</v>
      </c>
      <c r="E28" s="53"/>
      <c r="F28" s="53"/>
      <c r="G28" s="53"/>
      <c r="H28" s="14"/>
      <c r="I28" s="55" t="s">
        <v>19</v>
      </c>
      <c r="J28" s="55"/>
      <c r="K28" s="56"/>
    </row>
    <row r="29" spans="1:11" x14ac:dyDescent="0.25">
      <c r="A29" s="21"/>
      <c r="B29" s="17" t="s">
        <v>20</v>
      </c>
      <c r="E29" s="53"/>
      <c r="F29" s="53"/>
      <c r="G29" s="53"/>
      <c r="H29" s="14"/>
      <c r="I29" s="55" t="s">
        <v>24</v>
      </c>
      <c r="J29" s="55"/>
      <c r="K29" s="56"/>
    </row>
    <row r="30" spans="1:11" x14ac:dyDescent="0.25">
      <c r="A30" s="6"/>
      <c r="I30" s="17"/>
      <c r="J30" s="17"/>
      <c r="K30" s="18"/>
    </row>
    <row r="31" spans="1:11" x14ac:dyDescent="0.25">
      <c r="A31" s="21" t="s">
        <v>25</v>
      </c>
      <c r="E31" s="36"/>
      <c r="F31" s="36"/>
      <c r="G31" s="36"/>
      <c r="H31" s="14"/>
      <c r="I31" s="50" t="s">
        <v>26</v>
      </c>
      <c r="J31" s="50"/>
      <c r="K31" s="51"/>
    </row>
    <row r="32" spans="1:11" x14ac:dyDescent="0.25">
      <c r="A32" s="8"/>
      <c r="B32" s="2"/>
      <c r="C32" s="2"/>
      <c r="D32" s="2"/>
      <c r="E32" s="11"/>
      <c r="F32" s="11"/>
      <c r="G32" s="11"/>
      <c r="H32" s="11"/>
      <c r="I32" s="19"/>
      <c r="J32" s="19"/>
      <c r="K32" s="20"/>
    </row>
    <row r="33" spans="1:11" x14ac:dyDescent="0.25">
      <c r="A33" s="26" t="s">
        <v>78</v>
      </c>
    </row>
    <row r="37" spans="1:11" ht="24.75" x14ac:dyDescent="0.5">
      <c r="A37" s="37" t="str">
        <f>$J$10</f>
        <v>February 25, 2025</v>
      </c>
      <c r="B37" s="38"/>
      <c r="C37" s="38"/>
      <c r="D37" s="38"/>
      <c r="E37" s="38"/>
      <c r="G37" s="37" t="str">
        <f>$J$10</f>
        <v>February 25, 2025</v>
      </c>
      <c r="H37" s="38"/>
      <c r="I37" s="38"/>
      <c r="J37" s="38"/>
      <c r="K37" s="38"/>
    </row>
    <row r="38" spans="1:11" x14ac:dyDescent="0.25">
      <c r="A38" s="34" t="s">
        <v>28</v>
      </c>
      <c r="B38" s="34"/>
      <c r="C38" s="34"/>
      <c r="D38" s="34"/>
      <c r="E38" s="34"/>
      <c r="G38" s="34" t="s">
        <v>31</v>
      </c>
      <c r="H38" s="34"/>
      <c r="I38" s="34"/>
      <c r="J38" s="34"/>
      <c r="K38" s="34"/>
    </row>
    <row r="39" spans="1:11" x14ac:dyDescent="0.25">
      <c r="A39" s="33" t="s">
        <v>29</v>
      </c>
      <c r="B39" s="33"/>
      <c r="C39" s="33"/>
      <c r="D39" s="33"/>
      <c r="E39" s="33"/>
      <c r="G39" s="33" t="s">
        <v>32</v>
      </c>
      <c r="H39" s="33"/>
      <c r="I39" s="33"/>
      <c r="J39" s="33"/>
      <c r="K39" s="33"/>
    </row>
    <row r="40" spans="1:11" x14ac:dyDescent="0.25">
      <c r="A40" s="34" t="s">
        <v>30</v>
      </c>
      <c r="B40" s="34"/>
      <c r="C40" s="34"/>
      <c r="D40" s="34"/>
      <c r="E40" s="34"/>
      <c r="G40" s="34" t="s">
        <v>33</v>
      </c>
      <c r="H40" s="34"/>
      <c r="I40" s="34"/>
      <c r="J40" s="34"/>
      <c r="K40" s="34"/>
    </row>
  </sheetData>
  <mergeCells count="47">
    <mergeCell ref="A6:K6"/>
    <mergeCell ref="A1:K1"/>
    <mergeCell ref="A2:K2"/>
    <mergeCell ref="A3:K3"/>
    <mergeCell ref="A4:K4"/>
    <mergeCell ref="A5:K5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E31:G31"/>
    <mergeCell ref="I31:K31"/>
    <mergeCell ref="E28:G28"/>
    <mergeCell ref="I28:K28"/>
    <mergeCell ref="E29:G29"/>
    <mergeCell ref="I29:K29"/>
    <mergeCell ref="E27:G27"/>
    <mergeCell ref="I27:K27"/>
    <mergeCell ref="A16:C16"/>
    <mergeCell ref="E16:G16"/>
    <mergeCell ref="I16:K16"/>
    <mergeCell ref="E17:G17"/>
    <mergeCell ref="I17:K17"/>
    <mergeCell ref="I18:K18"/>
    <mergeCell ref="E19:G19"/>
    <mergeCell ref="I19:K19"/>
    <mergeCell ref="I20:K20"/>
    <mergeCell ref="E21:G21"/>
    <mergeCell ref="I21:K21"/>
    <mergeCell ref="I22:K22"/>
    <mergeCell ref="E23:G23"/>
    <mergeCell ref="I23:K23"/>
    <mergeCell ref="E26:G26"/>
    <mergeCell ref="I26:K26"/>
    <mergeCell ref="A37:E37"/>
    <mergeCell ref="G37:K37"/>
    <mergeCell ref="A38:E38"/>
    <mergeCell ref="G38:K38"/>
    <mergeCell ref="A40:E40"/>
    <mergeCell ref="G40:K40"/>
    <mergeCell ref="A39:E39"/>
    <mergeCell ref="G39:K39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AB2F-AD97-44B6-9BC1-B0217E770513}">
  <sheetPr codeName="Sheet5">
    <pageSetUpPr fitToPage="1"/>
  </sheetPr>
  <dimension ref="A1:Q36"/>
  <sheetViews>
    <sheetView zoomScaleNormal="100" workbookViewId="0">
      <selection activeCell="P2" sqref="P2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2" t="s">
        <v>198</v>
      </c>
      <c r="B1" s="43"/>
      <c r="C1" s="43"/>
      <c r="D1" s="43"/>
      <c r="E1" s="43"/>
      <c r="F1" s="43"/>
      <c r="G1" s="43"/>
      <c r="H1" s="43"/>
      <c r="I1" s="43"/>
      <c r="J1" s="43"/>
      <c r="K1" s="43"/>
      <c r="N1">
        <v>1</v>
      </c>
      <c r="P1" t="str">
        <f>CONCATENATE(VLOOKUP(N1,DATABASE!A1:I999,4,FALSE)," - FECA")</f>
        <v>PAMUGAS, MARK ALFRED - FECA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195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201</v>
      </c>
    </row>
    <row r="3" spans="1:17" x14ac:dyDescent="0.25">
      <c r="A3" s="40" t="s">
        <v>196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202</v>
      </c>
    </row>
    <row r="4" spans="1:17" x14ac:dyDescent="0.25">
      <c r="A4" s="40" t="s">
        <v>197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</row>
    <row r="6" spans="1:17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7" ht="15" customHeight="1" x14ac:dyDescent="0.25">
      <c r="A7" s="31" t="s">
        <v>199</v>
      </c>
      <c r="B7" s="48" t="str">
        <f>VLOOKUP(N1,DATABASE!A1:I999,4,FALSE)</f>
        <v>PAMUGAS, MARK ALFRED</v>
      </c>
      <c r="C7" s="48"/>
      <c r="D7" s="48"/>
      <c r="E7" s="48"/>
      <c r="F7" s="30"/>
      <c r="G7" s="30"/>
      <c r="H7" t="s">
        <v>192</v>
      </c>
      <c r="J7" s="46" t="str">
        <f>VLOOKUP(N1,DATABASE!A1:I999,2,FALSE)</f>
        <v>ML-000001</v>
      </c>
      <c r="K7" s="46"/>
    </row>
    <row r="8" spans="1:17" ht="15" customHeight="1" x14ac:dyDescent="0.25">
      <c r="A8" t="s">
        <v>1</v>
      </c>
      <c r="B8" s="46">
        <f ca="1">VLOOKUP(N1,DATABASE!A1:I999,6,FALSE)</f>
        <v>27</v>
      </c>
      <c r="C8" s="46"/>
      <c r="D8" s="46"/>
      <c r="E8" s="46"/>
      <c r="F8" s="28"/>
      <c r="G8" s="28"/>
      <c r="H8" s="47" t="s">
        <v>35</v>
      </c>
      <c r="I8" s="47"/>
      <c r="J8" s="46" t="str">
        <f>VLOOKUP(N1,DATABASE!A1:I999,7,FALSE)</f>
        <v>MALE</v>
      </c>
      <c r="K8" s="46"/>
      <c r="L8" s="15"/>
    </row>
    <row r="9" spans="1:17" ht="15" customHeight="1" x14ac:dyDescent="0.25">
      <c r="A9" t="s">
        <v>200</v>
      </c>
      <c r="B9" s="49" t="str">
        <f>TEXT(VLOOKUP(N1,DATABASE!A1:I999,5,FALSE),"mmmm d, yyyy")</f>
        <v>July 3, 1997</v>
      </c>
      <c r="C9" s="49"/>
      <c r="D9" s="49"/>
      <c r="E9" s="49"/>
      <c r="F9" s="28"/>
      <c r="G9" s="28"/>
      <c r="H9" t="s">
        <v>34</v>
      </c>
      <c r="J9" s="46" t="str">
        <f>IFERROR(IF(VLOOKUP(N2,DATABASE!A2:I1000,9,FALSE)=0,"",VLOOKUP(N2,DATABASE!A2:I1000,9,FALSE)),"")</f>
        <v/>
      </c>
      <c r="K9" s="46"/>
      <c r="L9" s="15"/>
    </row>
    <row r="10" spans="1:17" x14ac:dyDescent="0.25">
      <c r="A10" t="s">
        <v>0</v>
      </c>
      <c r="B10" s="46" t="str">
        <f>VLOOKUP(N1,DATABASE!A1:I999,8,FALSE)</f>
        <v>MANILA</v>
      </c>
      <c r="C10" s="46"/>
      <c r="D10" s="46"/>
      <c r="E10" s="46"/>
      <c r="H10" t="s">
        <v>36</v>
      </c>
      <c r="J10" s="29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41" t="s">
        <v>54</v>
      </c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39" t="s">
        <v>55</v>
      </c>
      <c r="B16" s="40"/>
      <c r="C16" s="40"/>
      <c r="D16" s="40"/>
      <c r="E16" s="40"/>
      <c r="F16" s="1"/>
      <c r="G16" s="40" t="s">
        <v>53</v>
      </c>
      <c r="H16" s="40"/>
      <c r="I16" s="40"/>
      <c r="J16" s="40"/>
      <c r="K16" s="24"/>
    </row>
    <row r="17" spans="1:11" x14ac:dyDescent="0.25">
      <c r="A17" s="35" t="s">
        <v>38</v>
      </c>
      <c r="B17" s="34"/>
      <c r="C17" s="34"/>
      <c r="D17" s="34"/>
      <c r="E17" s="34"/>
      <c r="G17" s="2"/>
      <c r="H17" s="2"/>
      <c r="I17" s="2"/>
      <c r="J17" s="2"/>
      <c r="K17" s="7"/>
    </row>
    <row r="18" spans="1:11" x14ac:dyDescent="0.25">
      <c r="A18" s="6"/>
      <c r="K18" s="7"/>
    </row>
    <row r="19" spans="1:11" x14ac:dyDescent="0.25">
      <c r="A19" s="35" t="s">
        <v>56</v>
      </c>
      <c r="B19" s="34"/>
      <c r="C19" s="34"/>
      <c r="D19" s="34"/>
      <c r="E19" s="34"/>
      <c r="G19" s="2"/>
      <c r="H19" s="2"/>
      <c r="I19" s="2"/>
      <c r="J19" s="2"/>
      <c r="K19" s="7"/>
    </row>
    <row r="20" spans="1:11" x14ac:dyDescent="0.25">
      <c r="A20" s="12"/>
      <c r="B20" s="14"/>
      <c r="C20" s="14"/>
      <c r="D20" s="14"/>
      <c r="E20" s="14"/>
      <c r="K20" s="7"/>
    </row>
    <row r="21" spans="1:11" x14ac:dyDescent="0.25">
      <c r="A21" s="12"/>
      <c r="B21" s="14"/>
      <c r="C21" s="14"/>
      <c r="D21" s="14"/>
      <c r="E21" s="14"/>
      <c r="G21" s="14"/>
      <c r="H21" s="14"/>
      <c r="I21" s="14"/>
      <c r="J21" s="14"/>
      <c r="K21" s="13"/>
    </row>
    <row r="22" spans="1:11" x14ac:dyDescent="0.25">
      <c r="A22" s="6"/>
      <c r="K22" s="7"/>
    </row>
    <row r="23" spans="1:11" x14ac:dyDescent="0.25">
      <c r="A23" s="39" t="s">
        <v>45</v>
      </c>
      <c r="B23" s="40"/>
      <c r="C23" s="40"/>
      <c r="D23" s="40"/>
      <c r="E23" s="40"/>
      <c r="K23" s="7"/>
    </row>
    <row r="24" spans="1:11" x14ac:dyDescent="0.25">
      <c r="A24" s="35" t="s">
        <v>46</v>
      </c>
      <c r="B24" s="34"/>
      <c r="C24" s="34"/>
      <c r="D24" s="34"/>
      <c r="E24" s="34"/>
      <c r="G24" s="2"/>
      <c r="H24" s="2"/>
      <c r="I24" s="2"/>
      <c r="J24" s="2"/>
      <c r="K24" s="7"/>
    </row>
    <row r="25" spans="1:11" x14ac:dyDescent="0.25">
      <c r="A25" s="35" t="s">
        <v>47</v>
      </c>
      <c r="B25" s="34"/>
      <c r="C25" s="34"/>
      <c r="D25" s="34"/>
      <c r="E25" s="34"/>
      <c r="G25" s="2"/>
      <c r="H25" s="2"/>
      <c r="I25" s="2"/>
      <c r="J25" s="2"/>
      <c r="K25" s="7"/>
    </row>
    <row r="26" spans="1:11" x14ac:dyDescent="0.25">
      <c r="A26" s="12"/>
      <c r="B26" s="14"/>
      <c r="C26" s="14"/>
      <c r="D26" s="14"/>
      <c r="E26" s="14"/>
      <c r="G26" s="14"/>
      <c r="H26" s="14"/>
      <c r="I26" s="14"/>
      <c r="J26" s="14"/>
      <c r="K26" s="13"/>
    </row>
    <row r="27" spans="1:11" x14ac:dyDescent="0.25">
      <c r="A27" s="57" t="s">
        <v>57</v>
      </c>
      <c r="B27" s="50"/>
      <c r="C27" s="50"/>
      <c r="D27" s="50"/>
      <c r="E27" s="50"/>
      <c r="F27" s="50"/>
      <c r="G27" s="50"/>
      <c r="H27" s="50"/>
      <c r="I27" s="50"/>
      <c r="J27" s="50"/>
      <c r="K27" s="51"/>
    </row>
    <row r="28" spans="1:11" x14ac:dyDescent="0.25">
      <c r="A28" s="8"/>
      <c r="B28" s="2"/>
      <c r="C28" s="2"/>
      <c r="D28" s="2"/>
      <c r="E28" s="2"/>
      <c r="F28" s="2"/>
      <c r="G28" s="2"/>
      <c r="H28" s="2"/>
      <c r="I28" s="2"/>
      <c r="J28" s="2"/>
      <c r="K28" s="9"/>
    </row>
    <row r="29" spans="1:11" x14ac:dyDescent="0.25">
      <c r="A29" s="26" t="s">
        <v>78</v>
      </c>
    </row>
    <row r="33" spans="1:11" ht="24.75" x14ac:dyDescent="0.5">
      <c r="A33" s="37" t="str">
        <f>$J$10</f>
        <v>February 25, 2025</v>
      </c>
      <c r="B33" s="38"/>
      <c r="C33" s="38"/>
      <c r="D33" s="38"/>
      <c r="E33" s="38"/>
      <c r="G33" s="37" t="str">
        <f>$J$10</f>
        <v>February 25, 2025</v>
      </c>
      <c r="H33" s="38"/>
      <c r="I33" s="38"/>
      <c r="J33" s="38"/>
      <c r="K33" s="38"/>
    </row>
    <row r="34" spans="1:11" x14ac:dyDescent="0.25">
      <c r="A34" s="34" t="s">
        <v>28</v>
      </c>
      <c r="B34" s="34"/>
      <c r="C34" s="34"/>
      <c r="D34" s="34"/>
      <c r="E34" s="34"/>
      <c r="G34" s="34" t="s">
        <v>31</v>
      </c>
      <c r="H34" s="34"/>
      <c r="I34" s="34"/>
      <c r="J34" s="34"/>
      <c r="K34" s="34"/>
    </row>
    <row r="35" spans="1:11" x14ac:dyDescent="0.25">
      <c r="A35" s="33" t="s">
        <v>29</v>
      </c>
      <c r="B35" s="33"/>
      <c r="C35" s="33"/>
      <c r="D35" s="33"/>
      <c r="E35" s="33"/>
      <c r="G35" s="33" t="s">
        <v>32</v>
      </c>
      <c r="H35" s="33"/>
      <c r="I35" s="33"/>
      <c r="J35" s="33"/>
      <c r="K35" s="33"/>
    </row>
    <row r="36" spans="1:11" x14ac:dyDescent="0.25">
      <c r="A36" s="34" t="s">
        <v>30</v>
      </c>
      <c r="B36" s="34"/>
      <c r="C36" s="34"/>
      <c r="D36" s="34"/>
      <c r="E36" s="34"/>
      <c r="G36" s="34" t="s">
        <v>33</v>
      </c>
      <c r="H36" s="34"/>
      <c r="I36" s="34"/>
      <c r="J36" s="34"/>
      <c r="K36" s="34"/>
    </row>
  </sheetData>
  <mergeCells count="31">
    <mergeCell ref="A6:K6"/>
    <mergeCell ref="A1:K1"/>
    <mergeCell ref="A2:K2"/>
    <mergeCell ref="A3:K3"/>
    <mergeCell ref="A4:K4"/>
    <mergeCell ref="A5:K5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36:E36"/>
    <mergeCell ref="G36:K36"/>
    <mergeCell ref="A16:E16"/>
    <mergeCell ref="G16:J16"/>
    <mergeCell ref="A17:E17"/>
    <mergeCell ref="A19:E19"/>
    <mergeCell ref="A23:E23"/>
    <mergeCell ref="A24:E24"/>
    <mergeCell ref="A25:E25"/>
    <mergeCell ref="A27:K27"/>
    <mergeCell ref="A33:E33"/>
    <mergeCell ref="G33:K33"/>
    <mergeCell ref="A34:E34"/>
    <mergeCell ref="G34:K34"/>
    <mergeCell ref="A35:E35"/>
    <mergeCell ref="G35:K35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A5DA8-A752-4B5A-987C-BB9C9B0C4F40}">
  <sheetPr codeName="Sheet6">
    <pageSetUpPr fitToPage="1"/>
  </sheetPr>
  <dimension ref="A1:Q35"/>
  <sheetViews>
    <sheetView zoomScaleNormal="100" workbookViewId="0">
      <selection activeCell="P2" sqref="P2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2" t="s">
        <v>198</v>
      </c>
      <c r="B1" s="43"/>
      <c r="C1" s="43"/>
      <c r="D1" s="43"/>
      <c r="E1" s="43"/>
      <c r="F1" s="43"/>
      <c r="G1" s="43"/>
      <c r="H1" s="43"/>
      <c r="I1" s="43"/>
      <c r="J1" s="43"/>
      <c r="K1" s="43"/>
      <c r="N1">
        <v>1</v>
      </c>
      <c r="P1" t="str">
        <f>CONCATENATE(VLOOKUP(N1,DATABASE!A1:I999,4,FALSE)," - PT")</f>
        <v>PAMUGAS, MARK ALFRED - PT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195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201</v>
      </c>
    </row>
    <row r="3" spans="1:17" x14ac:dyDescent="0.25">
      <c r="A3" s="40" t="s">
        <v>196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202</v>
      </c>
    </row>
    <row r="4" spans="1:17" x14ac:dyDescent="0.25">
      <c r="A4" s="40" t="s">
        <v>197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</row>
    <row r="6" spans="1:17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7" ht="15" customHeight="1" x14ac:dyDescent="0.25">
      <c r="A7" s="31" t="s">
        <v>199</v>
      </c>
      <c r="B7" s="48" t="str">
        <f>VLOOKUP(N1,DATABASE!A1:I999,4,FALSE)</f>
        <v>PAMUGAS, MARK ALFRED</v>
      </c>
      <c r="C7" s="48"/>
      <c r="D7" s="48"/>
      <c r="E7" s="48"/>
      <c r="F7" s="30"/>
      <c r="G7" s="30"/>
      <c r="H7" t="s">
        <v>192</v>
      </c>
      <c r="J7" s="46" t="str">
        <f>VLOOKUP(N1,DATABASE!A1:I999,2,FALSE)</f>
        <v>ML-000001</v>
      </c>
      <c r="K7" s="46"/>
    </row>
    <row r="8" spans="1:17" ht="15" customHeight="1" x14ac:dyDescent="0.25">
      <c r="A8" t="s">
        <v>1</v>
      </c>
      <c r="B8" s="46">
        <f ca="1">VLOOKUP(N1,DATABASE!A1:I999,6,FALSE)</f>
        <v>27</v>
      </c>
      <c r="C8" s="46"/>
      <c r="D8" s="46"/>
      <c r="E8" s="46"/>
      <c r="F8" s="28"/>
      <c r="G8" s="28"/>
      <c r="H8" s="47" t="s">
        <v>35</v>
      </c>
      <c r="I8" s="47"/>
      <c r="J8" s="46" t="str">
        <f>VLOOKUP(N1,DATABASE!A1:I999,7,FALSE)</f>
        <v>MALE</v>
      </c>
      <c r="K8" s="46"/>
      <c r="L8" s="15"/>
    </row>
    <row r="9" spans="1:17" ht="15" customHeight="1" x14ac:dyDescent="0.25">
      <c r="A9" t="s">
        <v>200</v>
      </c>
      <c r="B9" s="49" t="str">
        <f>TEXT(VLOOKUP(N1,DATABASE!A1:I999,5,FALSE),"mmmm d, yyyy")</f>
        <v>July 3, 1997</v>
      </c>
      <c r="C9" s="49"/>
      <c r="D9" s="49"/>
      <c r="E9" s="49"/>
      <c r="F9" s="28"/>
      <c r="G9" s="28"/>
      <c r="H9" t="s">
        <v>34</v>
      </c>
      <c r="J9" s="46" t="str">
        <f>IFERROR(IF(VLOOKUP(N2,DATABASE!A2:I1000,9,FALSE)=0,"",VLOOKUP(N2,DATABASE!A2:I1000,9,FALSE)),"")</f>
        <v/>
      </c>
      <c r="K9" s="46"/>
      <c r="L9" s="15"/>
    </row>
    <row r="10" spans="1:17" x14ac:dyDescent="0.25">
      <c r="A10" t="s">
        <v>0</v>
      </c>
      <c r="B10" s="46" t="str">
        <f>VLOOKUP(N1,DATABASE!A1:I999,8,FALSE)</f>
        <v>MANILA</v>
      </c>
      <c r="C10" s="46"/>
      <c r="D10" s="46"/>
      <c r="E10" s="46"/>
      <c r="H10" t="s">
        <v>36</v>
      </c>
      <c r="J10" s="29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41" t="s">
        <v>71</v>
      </c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6"/>
      <c r="K16" s="7"/>
    </row>
    <row r="17" spans="1:11" x14ac:dyDescent="0.25">
      <c r="A17" s="21" t="s">
        <v>72</v>
      </c>
      <c r="F17" s="1"/>
      <c r="K17" s="7"/>
    </row>
    <row r="18" spans="1:11" x14ac:dyDescent="0.25">
      <c r="A18" s="21" t="s">
        <v>73</v>
      </c>
      <c r="K18" s="7"/>
    </row>
    <row r="19" spans="1:11" x14ac:dyDescent="0.25">
      <c r="A19" s="6"/>
      <c r="K19" s="7"/>
    </row>
    <row r="20" spans="1:11" x14ac:dyDescent="0.25">
      <c r="A20" s="6"/>
      <c r="K20" s="7"/>
    </row>
    <row r="21" spans="1:11" x14ac:dyDescent="0.25">
      <c r="A21" s="39" t="s">
        <v>3</v>
      </c>
      <c r="B21" s="40"/>
      <c r="C21" s="40"/>
      <c r="D21" s="40"/>
      <c r="E21" s="40"/>
      <c r="F21" s="1"/>
      <c r="G21" s="40" t="s">
        <v>4</v>
      </c>
      <c r="H21" s="40"/>
      <c r="I21" s="40"/>
      <c r="J21" s="40"/>
      <c r="K21" s="24"/>
    </row>
    <row r="22" spans="1:11" x14ac:dyDescent="0.25">
      <c r="A22" s="12"/>
      <c r="B22" s="14"/>
      <c r="C22" s="14"/>
      <c r="D22" s="14"/>
      <c r="E22" s="14"/>
      <c r="K22" s="7"/>
    </row>
    <row r="23" spans="1:11" ht="18.75" x14ac:dyDescent="0.3">
      <c r="A23" s="59" t="s">
        <v>74</v>
      </c>
      <c r="B23" s="60"/>
      <c r="C23" s="60"/>
      <c r="D23" s="60"/>
      <c r="E23" s="60"/>
      <c r="F23" s="25"/>
      <c r="G23" s="58" t="s">
        <v>76</v>
      </c>
      <c r="H23" s="58"/>
      <c r="I23" s="58"/>
      <c r="J23" s="58"/>
      <c r="K23" s="7"/>
    </row>
    <row r="24" spans="1:11" x14ac:dyDescent="0.25">
      <c r="A24" s="35" t="s">
        <v>75</v>
      </c>
      <c r="B24" s="34"/>
      <c r="C24" s="34"/>
      <c r="D24" s="34"/>
      <c r="E24" s="34"/>
      <c r="I24" t="s">
        <v>77</v>
      </c>
      <c r="K24" s="7"/>
    </row>
    <row r="25" spans="1:11" x14ac:dyDescent="0.25">
      <c r="A25" s="12"/>
      <c r="B25" s="14"/>
      <c r="C25" s="14"/>
      <c r="D25" s="14"/>
      <c r="E25" s="14"/>
      <c r="K25" s="7"/>
    </row>
    <row r="26" spans="1:11" x14ac:dyDescent="0.25">
      <c r="A26" s="12"/>
      <c r="B26" s="14"/>
      <c r="C26" s="14"/>
      <c r="D26" s="14"/>
      <c r="E26" s="14"/>
      <c r="K26" s="7"/>
    </row>
    <row r="27" spans="1:11" x14ac:dyDescent="0.25">
      <c r="A27" s="22"/>
      <c r="B27" s="11"/>
      <c r="C27" s="11"/>
      <c r="D27" s="11"/>
      <c r="E27" s="11"/>
      <c r="F27" s="2"/>
      <c r="G27" s="2"/>
      <c r="H27" s="2"/>
      <c r="I27" s="2"/>
      <c r="J27" s="2"/>
      <c r="K27" s="9"/>
    </row>
    <row r="28" spans="1:11" x14ac:dyDescent="0.25">
      <c r="A28" s="26" t="s">
        <v>78</v>
      </c>
    </row>
    <row r="32" spans="1:11" ht="24.75" x14ac:dyDescent="0.5">
      <c r="A32" s="37" t="str">
        <f>$J$10</f>
        <v>February 25, 2025</v>
      </c>
      <c r="B32" s="38"/>
      <c r="C32" s="38"/>
      <c r="D32" s="38"/>
      <c r="E32" s="38"/>
      <c r="G32" s="37" t="str">
        <f>$J$10</f>
        <v>February 25, 2025</v>
      </c>
      <c r="H32" s="38"/>
      <c r="I32" s="38"/>
      <c r="J32" s="38"/>
      <c r="K32" s="38"/>
    </row>
    <row r="33" spans="1:11" x14ac:dyDescent="0.25">
      <c r="A33" s="34" t="s">
        <v>28</v>
      </c>
      <c r="B33" s="34"/>
      <c r="C33" s="34"/>
      <c r="D33" s="34"/>
      <c r="E33" s="34"/>
      <c r="G33" s="34" t="s">
        <v>31</v>
      </c>
      <c r="H33" s="34"/>
      <c r="I33" s="34"/>
      <c r="J33" s="34"/>
      <c r="K33" s="34"/>
    </row>
    <row r="34" spans="1:11" x14ac:dyDescent="0.25">
      <c r="A34" s="33" t="s">
        <v>29</v>
      </c>
      <c r="B34" s="33"/>
      <c r="C34" s="33"/>
      <c r="D34" s="33"/>
      <c r="E34" s="33"/>
      <c r="G34" s="33" t="s">
        <v>32</v>
      </c>
      <c r="H34" s="33"/>
      <c r="I34" s="33"/>
      <c r="J34" s="33"/>
      <c r="K34" s="33"/>
    </row>
    <row r="35" spans="1:11" x14ac:dyDescent="0.25">
      <c r="A35" s="34" t="s">
        <v>30</v>
      </c>
      <c r="B35" s="34"/>
      <c r="C35" s="34"/>
      <c r="D35" s="34"/>
      <c r="E35" s="34"/>
      <c r="G35" s="34" t="s">
        <v>33</v>
      </c>
      <c r="H35" s="34"/>
      <c r="I35" s="34"/>
      <c r="J35" s="34"/>
      <c r="K35" s="34"/>
    </row>
  </sheetData>
  <mergeCells count="28">
    <mergeCell ref="A6:K6"/>
    <mergeCell ref="A1:K1"/>
    <mergeCell ref="A2:K2"/>
    <mergeCell ref="A3:K3"/>
    <mergeCell ref="A4:K4"/>
    <mergeCell ref="A5:K5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34:E34"/>
    <mergeCell ref="G34:K34"/>
    <mergeCell ref="A35:E35"/>
    <mergeCell ref="G35:K35"/>
    <mergeCell ref="A23:E23"/>
    <mergeCell ref="A24:E24"/>
    <mergeCell ref="A32:E32"/>
    <mergeCell ref="G32:K32"/>
    <mergeCell ref="A21:E21"/>
    <mergeCell ref="G21:J21"/>
    <mergeCell ref="G23:J23"/>
    <mergeCell ref="A33:E33"/>
    <mergeCell ref="G33:K33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47143-4A24-4F9D-B99B-D09656950CC3}">
  <sheetPr codeName="Sheet7">
    <pageSetUpPr fitToPage="1"/>
  </sheetPr>
  <dimension ref="A1:Q32"/>
  <sheetViews>
    <sheetView zoomScaleNormal="100" workbookViewId="0">
      <selection activeCell="P2" sqref="P2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42" t="s">
        <v>198</v>
      </c>
      <c r="B1" s="43"/>
      <c r="C1" s="43"/>
      <c r="D1" s="43"/>
      <c r="E1" s="43"/>
      <c r="F1" s="43"/>
      <c r="G1" s="43"/>
      <c r="H1" s="43"/>
      <c r="I1" s="43"/>
      <c r="J1" s="43"/>
      <c r="K1" s="43"/>
      <c r="N1">
        <v>1</v>
      </c>
      <c r="P1" t="str">
        <f>CONCATENATE(VLOOKUP(N1,DATABASE!A1:I999,4,FALSE)," - BT")</f>
        <v>PAMUGAS, MARK ALFRED - BT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40" t="s">
        <v>195</v>
      </c>
      <c r="B2" s="40"/>
      <c r="C2" s="40"/>
      <c r="D2" s="40"/>
      <c r="E2" s="40"/>
      <c r="F2" s="40"/>
      <c r="G2" s="40"/>
      <c r="H2" s="40"/>
      <c r="I2" s="40"/>
      <c r="J2" s="40"/>
      <c r="K2" s="40"/>
      <c r="Q2" t="s">
        <v>201</v>
      </c>
    </row>
    <row r="3" spans="1:17" x14ac:dyDescent="0.25">
      <c r="A3" s="40" t="s">
        <v>196</v>
      </c>
      <c r="B3" s="40"/>
      <c r="C3" s="40"/>
      <c r="D3" s="40"/>
      <c r="E3" s="40"/>
      <c r="F3" s="40"/>
      <c r="G3" s="40"/>
      <c r="H3" s="40"/>
      <c r="I3" s="40"/>
      <c r="J3" s="40"/>
      <c r="K3" s="40"/>
      <c r="Q3" s="32" t="s">
        <v>202</v>
      </c>
    </row>
    <row r="4" spans="1:17" x14ac:dyDescent="0.25">
      <c r="A4" s="40" t="s">
        <v>197</v>
      </c>
      <c r="B4" s="40"/>
      <c r="C4" s="40"/>
      <c r="D4" s="40"/>
      <c r="E4" s="40"/>
      <c r="F4" s="40"/>
      <c r="G4" s="40"/>
      <c r="H4" s="40"/>
      <c r="I4" s="40"/>
      <c r="J4" s="40"/>
      <c r="K4" s="40"/>
    </row>
    <row r="5" spans="1:17" ht="15.75" thickBot="1" x14ac:dyDescent="0.3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</row>
    <row r="6" spans="1:17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7" ht="15" customHeight="1" x14ac:dyDescent="0.25">
      <c r="A7" s="31" t="s">
        <v>199</v>
      </c>
      <c r="B7" s="48" t="str">
        <f>VLOOKUP(N1,DATABASE!A1:I999,4,FALSE)</f>
        <v>PAMUGAS, MARK ALFRED</v>
      </c>
      <c r="C7" s="48"/>
      <c r="D7" s="48"/>
      <c r="E7" s="48"/>
      <c r="F7" s="30"/>
      <c r="G7" s="30"/>
      <c r="H7" t="s">
        <v>192</v>
      </c>
      <c r="J7" s="46" t="str">
        <f>VLOOKUP(N1,DATABASE!A1:I999,2,FALSE)</f>
        <v>ML-000001</v>
      </c>
      <c r="K7" s="46"/>
    </row>
    <row r="8" spans="1:17" ht="15" customHeight="1" x14ac:dyDescent="0.25">
      <c r="A8" t="s">
        <v>1</v>
      </c>
      <c r="B8" s="46">
        <f ca="1">VLOOKUP(N1,DATABASE!A1:I999,6,FALSE)</f>
        <v>27</v>
      </c>
      <c r="C8" s="46"/>
      <c r="D8" s="46"/>
      <c r="E8" s="46"/>
      <c r="F8" s="28"/>
      <c r="G8" s="28"/>
      <c r="H8" s="47" t="s">
        <v>35</v>
      </c>
      <c r="I8" s="47"/>
      <c r="J8" s="46" t="str">
        <f>VLOOKUP(N1,DATABASE!A1:I999,7,FALSE)</f>
        <v>MALE</v>
      </c>
      <c r="K8" s="46"/>
      <c r="L8" s="15"/>
    </row>
    <row r="9" spans="1:17" ht="15" customHeight="1" x14ac:dyDescent="0.25">
      <c r="A9" t="s">
        <v>200</v>
      </c>
      <c r="B9" s="49" t="str">
        <f>TEXT(VLOOKUP(N1,DATABASE!A1:I999,5,FALSE),"mmmm d, yyyy")</f>
        <v>July 3, 1997</v>
      </c>
      <c r="C9" s="49"/>
      <c r="D9" s="49"/>
      <c r="E9" s="49"/>
      <c r="F9" s="28"/>
      <c r="G9" s="28"/>
      <c r="H9" t="s">
        <v>34</v>
      </c>
      <c r="J9" s="46" t="str">
        <f>IFERROR(IF(VLOOKUP(N2,DATABASE!A2:I1000,9,FALSE)=0,"",VLOOKUP(N2,DATABASE!A2:I1000,9,FALSE)),"")</f>
        <v/>
      </c>
      <c r="K9" s="46"/>
      <c r="L9" s="15"/>
    </row>
    <row r="10" spans="1:17" x14ac:dyDescent="0.25">
      <c r="A10" t="s">
        <v>0</v>
      </c>
      <c r="B10" s="46" t="str">
        <f>VLOOKUP(N1,DATABASE!A1:I999,8,FALSE)</f>
        <v>MANILA</v>
      </c>
      <c r="C10" s="46"/>
      <c r="D10" s="46"/>
      <c r="E10" s="46"/>
      <c r="H10" t="s">
        <v>36</v>
      </c>
      <c r="J10" s="29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41" t="s">
        <v>2</v>
      </c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6"/>
      <c r="K16" s="7"/>
    </row>
    <row r="17" spans="1:11" x14ac:dyDescent="0.25">
      <c r="A17" s="35" t="s">
        <v>58</v>
      </c>
      <c r="B17" s="34"/>
      <c r="C17" s="34"/>
      <c r="D17" s="34"/>
      <c r="E17" s="34"/>
      <c r="G17" s="34" t="s">
        <v>59</v>
      </c>
      <c r="H17" s="34"/>
      <c r="I17" s="34"/>
      <c r="J17" s="34"/>
      <c r="K17" s="52"/>
    </row>
    <row r="18" spans="1:11" x14ac:dyDescent="0.25">
      <c r="A18" s="61" t="s">
        <v>79</v>
      </c>
      <c r="B18" s="62"/>
      <c r="C18" s="62"/>
      <c r="D18" s="62"/>
      <c r="E18" s="62"/>
      <c r="G18" s="34"/>
      <c r="H18" s="34"/>
      <c r="I18" s="34"/>
      <c r="J18" s="34"/>
      <c r="K18" s="52"/>
    </row>
    <row r="19" spans="1:11" x14ac:dyDescent="0.25">
      <c r="A19" s="61"/>
      <c r="B19" s="62"/>
      <c r="C19" s="62"/>
      <c r="D19" s="62"/>
      <c r="E19" s="62"/>
      <c r="G19" s="34"/>
      <c r="H19" s="34"/>
      <c r="I19" s="34"/>
      <c r="J19" s="34"/>
      <c r="K19" s="52"/>
    </row>
    <row r="20" spans="1:11" x14ac:dyDescent="0.25">
      <c r="A20" s="61"/>
      <c r="B20" s="62"/>
      <c r="C20" s="62"/>
      <c r="D20" s="62"/>
      <c r="E20" s="62"/>
      <c r="G20" s="34"/>
      <c r="H20" s="34"/>
      <c r="I20" s="34"/>
      <c r="J20" s="34"/>
      <c r="K20" s="52"/>
    </row>
    <row r="21" spans="1:11" x14ac:dyDescent="0.25">
      <c r="A21" s="61"/>
      <c r="B21" s="62"/>
      <c r="C21" s="62"/>
      <c r="D21" s="62"/>
      <c r="E21" s="62"/>
      <c r="G21" s="34"/>
      <c r="H21" s="34"/>
      <c r="I21" s="34"/>
      <c r="J21" s="34"/>
      <c r="K21" s="52"/>
    </row>
    <row r="22" spans="1:11" x14ac:dyDescent="0.25">
      <c r="A22" s="61"/>
      <c r="B22" s="62"/>
      <c r="C22" s="62"/>
      <c r="D22" s="62"/>
      <c r="E22" s="62"/>
      <c r="G22" s="34"/>
      <c r="H22" s="34"/>
      <c r="I22" s="34"/>
      <c r="J22" s="34"/>
      <c r="K22" s="52"/>
    </row>
    <row r="23" spans="1:11" x14ac:dyDescent="0.25">
      <c r="A23" s="12"/>
      <c r="B23" s="14"/>
      <c r="C23" s="14"/>
      <c r="D23" s="14"/>
      <c r="E23" s="14"/>
      <c r="K23" s="7"/>
    </row>
    <row r="24" spans="1:11" x14ac:dyDescent="0.25">
      <c r="A24" s="22"/>
      <c r="B24" s="11"/>
      <c r="C24" s="11"/>
      <c r="D24" s="11"/>
      <c r="E24" s="11"/>
      <c r="F24" s="2"/>
      <c r="G24" s="2"/>
      <c r="H24" s="2"/>
      <c r="I24" s="2"/>
      <c r="J24" s="2"/>
      <c r="K24" s="9"/>
    </row>
    <row r="25" spans="1:11" x14ac:dyDescent="0.25">
      <c r="A25" s="26" t="s">
        <v>78</v>
      </c>
    </row>
    <row r="29" spans="1:11" ht="24.75" x14ac:dyDescent="0.5">
      <c r="A29" s="37" t="str">
        <f>$J$10</f>
        <v>February 25, 2025</v>
      </c>
      <c r="B29" s="38"/>
      <c r="C29" s="38"/>
      <c r="D29" s="38"/>
      <c r="E29" s="38"/>
      <c r="G29" s="37" t="str">
        <f>$J$10</f>
        <v>February 25, 2025</v>
      </c>
      <c r="H29" s="38"/>
      <c r="I29" s="38"/>
      <c r="J29" s="38"/>
      <c r="K29" s="38"/>
    </row>
    <row r="30" spans="1:11" x14ac:dyDescent="0.25">
      <c r="A30" s="34" t="s">
        <v>28</v>
      </c>
      <c r="B30" s="34"/>
      <c r="C30" s="34"/>
      <c r="D30" s="34"/>
      <c r="E30" s="34"/>
      <c r="G30" s="34" t="s">
        <v>31</v>
      </c>
      <c r="H30" s="34"/>
      <c r="I30" s="34"/>
      <c r="J30" s="34"/>
      <c r="K30" s="34"/>
    </row>
    <row r="31" spans="1:11" x14ac:dyDescent="0.25">
      <c r="A31" s="33" t="s">
        <v>29</v>
      </c>
      <c r="B31" s="33"/>
      <c r="C31" s="33"/>
      <c r="D31" s="33"/>
      <c r="E31" s="33"/>
      <c r="G31" s="33" t="s">
        <v>32</v>
      </c>
      <c r="H31" s="33"/>
      <c r="I31" s="33"/>
      <c r="J31" s="33"/>
      <c r="K31" s="33"/>
    </row>
    <row r="32" spans="1:11" x14ac:dyDescent="0.25">
      <c r="A32" s="34" t="s">
        <v>30</v>
      </c>
      <c r="B32" s="34"/>
      <c r="C32" s="34"/>
      <c r="D32" s="34"/>
      <c r="E32" s="34"/>
      <c r="G32" s="34" t="s">
        <v>33</v>
      </c>
      <c r="H32" s="34"/>
      <c r="I32" s="34"/>
      <c r="J32" s="34"/>
      <c r="K32" s="34"/>
    </row>
  </sheetData>
  <mergeCells count="27">
    <mergeCell ref="A6:K6"/>
    <mergeCell ref="A1:K1"/>
    <mergeCell ref="A2:K2"/>
    <mergeCell ref="A3:K3"/>
    <mergeCell ref="A4:K4"/>
    <mergeCell ref="A5:K5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32:E32"/>
    <mergeCell ref="G32:K32"/>
    <mergeCell ref="A17:E17"/>
    <mergeCell ref="G17:K17"/>
    <mergeCell ref="A18:E22"/>
    <mergeCell ref="G18:K22"/>
    <mergeCell ref="A29:E29"/>
    <mergeCell ref="G29:K29"/>
    <mergeCell ref="A30:E30"/>
    <mergeCell ref="G30:K30"/>
    <mergeCell ref="A31:E31"/>
    <mergeCell ref="G31:K31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DATABASE</vt:lpstr>
      <vt:lpstr>URINALYSIS</vt:lpstr>
      <vt:lpstr>CBC</vt:lpstr>
      <vt:lpstr>FECA</vt:lpstr>
      <vt:lpstr>PT</vt:lpstr>
      <vt:lpstr>BT</vt:lpstr>
      <vt:lpstr>BT!Print_Area</vt:lpstr>
      <vt:lpstr>CBC!Print_Area</vt:lpstr>
      <vt:lpstr>FECA!Print_Area</vt:lpstr>
      <vt:lpstr>PT!Print_Area</vt:lpstr>
      <vt:lpstr>URINALYSIS!Print_Area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TLG-PC2</dc:creator>
  <cp:lastModifiedBy>Mark Pamugas</cp:lastModifiedBy>
  <cp:lastPrinted>2025-04-13T10:36:35Z</cp:lastPrinted>
  <dcterms:created xsi:type="dcterms:W3CDTF">2023-04-20T05:37:55Z</dcterms:created>
  <dcterms:modified xsi:type="dcterms:W3CDTF">2025-04-13T10:36:37Z</dcterms:modified>
</cp:coreProperties>
</file>